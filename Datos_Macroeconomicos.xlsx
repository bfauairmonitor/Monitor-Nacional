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02" i="6" l="1"/>
  <c r="C2" i="2" l="1"/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<sst xmlns="http://schemas.openxmlformats.org/spreadsheetml/2006/main" count="48" uniqueCount="39">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</sst>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0"/>
  <sheetViews>
    <sheetView tabSelected="1" topLeftCell="A103" workbookViewId="0">
      <selection activeCell="A120" sqref="A120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1">
        <v>46149</v>
      </c>
      <c r="B33" s="17">
        <v>32505.648000000001</v>
      </c>
      <c r="C33" s="20"/>
      <c r="D33" s="17">
        <v>150</v>
      </c>
      <c r="E33" s="20"/>
      <c r="F33" s="17">
        <v>300</v>
      </c>
      <c r="G33" s="20"/>
      <c r="H33" s="17">
        <v>243.9</v>
      </c>
    </row>
    <row r="34" spans="1:8">
      <c r="A34" s="21">
        <v>46150</v>
      </c>
      <c r="B34" s="17">
        <v>8103.3360000000002</v>
      </c>
      <c r="C34" s="20"/>
      <c r="D34" s="17">
        <v>100</v>
      </c>
      <c r="E34" s="20"/>
      <c r="F34" s="17">
        <v>100</v>
      </c>
      <c r="G34" s="20"/>
      <c r="H34" s="17">
        <v>100</v>
      </c>
    </row>
    <row r="35" spans="1:8">
      <c r="A35" s="21">
        <v>46153</v>
      </c>
      <c r="B35" s="17">
        <v>30219.955319000001</v>
      </c>
      <c r="C35" s="20"/>
      <c r="D35" s="17">
        <v>100</v>
      </c>
      <c r="E35" s="20"/>
      <c r="F35" s="17">
        <v>110.06</v>
      </c>
      <c r="G35" s="20"/>
      <c r="H35" s="17">
        <v>109.71</v>
      </c>
    </row>
    <row r="36" spans="1:8">
      <c r="A36" s="21">
        <v>46154</v>
      </c>
      <c r="B36" s="17">
        <v>0</v>
      </c>
      <c r="C36" s="20"/>
      <c r="D36" s="17">
        <v>0</v>
      </c>
      <c r="E36" s="20"/>
      <c r="F36" s="17">
        <v>0</v>
      </c>
      <c r="G36" s="20"/>
      <c r="H36" s="17">
        <v>0</v>
      </c>
    </row>
    <row r="37" spans="1:8">
      <c r="A37" s="21">
        <v>46155</v>
      </c>
      <c r="B37" s="17">
        <v>200</v>
      </c>
      <c r="C37" s="20"/>
      <c r="D37" s="17">
        <v>100</v>
      </c>
      <c r="E37" s="20"/>
      <c r="F37" s="17">
        <v>100</v>
      </c>
      <c r="G37" s="20"/>
      <c r="H37" s="17">
        <v>100</v>
      </c>
    </row>
    <row r="38" spans="1:8">
      <c r="A38" s="21">
        <v>46156</v>
      </c>
      <c r="B38" s="17">
        <v>0</v>
      </c>
      <c r="C38" s="20"/>
      <c r="D38" s="17">
        <v>0</v>
      </c>
      <c r="E38" s="20"/>
      <c r="F38" s="17">
        <v>0</v>
      </c>
      <c r="G38" s="20"/>
      <c r="H38" s="17">
        <v>0</v>
      </c>
    </row>
    <row r="39" spans="1:8">
      <c r="A39" s="21">
        <v>46157</v>
      </c>
      <c r="B39" s="17">
        <v>0</v>
      </c>
      <c r="C39" s="28"/>
      <c r="D39" s="17">
        <v>0</v>
      </c>
      <c r="E39" s="29"/>
      <c r="F39" s="17">
        <v>0</v>
      </c>
      <c r="G39" s="29"/>
      <c r="H39" s="17">
        <v>0</v>
      </c>
    </row>
    <row r="40" spans="1:8">
      <c r="A40" s="21">
        <v>46161</v>
      </c>
      <c r="B40" s="17">
        <v>0</v>
      </c>
      <c r="D40" s="17">
        <v>0</v>
      </c>
      <c r="E40" s="29"/>
      <c r="F40" s="17">
        <v>0</v>
      </c>
      <c r="G40" s="29"/>
      <c r="H40" s="17">
        <v>0</v>
      </c>
    </row>
    <row r="41" spans="1:8">
      <c r="A41" s="21">
        <v>46162</v>
      </c>
      <c r="B41" s="17">
        <v>0</v>
      </c>
      <c r="C41" s="24"/>
      <c r="D41" s="17">
        <v>0</v>
      </c>
      <c r="E41" s="24"/>
      <c r="F41" s="17">
        <v>0</v>
      </c>
      <c r="G41" s="24"/>
      <c r="H41" s="17">
        <v>0</v>
      </c>
    </row>
    <row r="42" spans="1:8">
      <c r="A42" s="21">
        <v>46163</v>
      </c>
      <c r="B42" s="17">
        <v>5006.6000000000004</v>
      </c>
      <c r="C42" s="20"/>
      <c r="D42" s="17">
        <v>120</v>
      </c>
      <c r="E42" s="20"/>
      <c r="F42" s="17">
        <v>120</v>
      </c>
      <c r="G42" s="20"/>
      <c r="H42" s="17">
        <v>120</v>
      </c>
    </row>
    <row r="43" spans="1:8">
      <c r="A43" s="21">
        <v>46164</v>
      </c>
      <c r="B43" s="17">
        <v>0</v>
      </c>
      <c r="C43" s="20"/>
      <c r="D43" s="17">
        <v>0</v>
      </c>
      <c r="E43" s="20"/>
      <c r="F43" s="17">
        <v>0</v>
      </c>
      <c r="G43" s="20"/>
      <c r="H43" s="17">
        <v>0</v>
      </c>
    </row>
    <row r="44" spans="1:8">
      <c r="A44" s="21">
        <v>46167</v>
      </c>
      <c r="B44" s="17">
        <v>0</v>
      </c>
      <c r="C44" s="20"/>
      <c r="D44" s="17">
        <v>0</v>
      </c>
      <c r="E44" s="20"/>
      <c r="F44" s="17">
        <v>0</v>
      </c>
      <c r="G44" s="20"/>
      <c r="H44" s="17">
        <v>0</v>
      </c>
    </row>
    <row r="45" spans="1:8">
      <c r="A45" s="21">
        <v>46168</v>
      </c>
      <c r="B45" s="17">
        <v>0</v>
      </c>
      <c r="C45" s="20"/>
      <c r="D45" s="17">
        <v>0</v>
      </c>
      <c r="E45" s="20"/>
      <c r="F45" s="17">
        <v>0</v>
      </c>
      <c r="G45" s="20"/>
      <c r="H45" s="17">
        <v>0</v>
      </c>
    </row>
    <row r="46" spans="1:8">
      <c r="A46" s="21">
        <v>46169</v>
      </c>
      <c r="B46" s="17">
        <v>51256.235569999997</v>
      </c>
      <c r="C46" s="20"/>
      <c r="D46" s="17">
        <v>250</v>
      </c>
      <c r="E46" s="20"/>
      <c r="F46" s="17">
        <v>300.02</v>
      </c>
      <c r="G46" s="20"/>
      <c r="H46" s="17">
        <v>273.24</v>
      </c>
    </row>
    <row r="47" spans="1:8">
      <c r="A47" s="21">
        <v>46170</v>
      </c>
      <c r="B47" s="17">
        <v>38032.045118000002</v>
      </c>
      <c r="C47" s="20"/>
      <c r="D47" s="17">
        <v>300</v>
      </c>
      <c r="E47" s="20"/>
      <c r="F47" s="17">
        <v>330</v>
      </c>
      <c r="G47" s="20"/>
      <c r="H47" s="17">
        <v>311.49</v>
      </c>
    </row>
    <row r="48" spans="1:8">
      <c r="A48" s="21">
        <v>46171</v>
      </c>
      <c r="B48" s="17">
        <v>45546.404509</v>
      </c>
      <c r="C48" s="20"/>
      <c r="D48" s="17">
        <v>100</v>
      </c>
      <c r="E48" s="20"/>
      <c r="F48" s="17">
        <v>120</v>
      </c>
      <c r="G48" s="20"/>
      <c r="H48" s="17">
        <v>107.95</v>
      </c>
    </row>
    <row r="49" spans="1:8">
      <c r="A49" s="21">
        <v>46174</v>
      </c>
      <c r="B49" s="17">
        <v>0</v>
      </c>
      <c r="C49" s="20"/>
      <c r="D49" s="17">
        <v>0</v>
      </c>
      <c r="E49" s="20"/>
      <c r="F49" s="17">
        <v>0</v>
      </c>
      <c r="G49" s="20"/>
      <c r="H49" s="17">
        <v>0</v>
      </c>
    </row>
    <row r="50" spans="1:8">
      <c r="A50" s="21">
        <v>46175</v>
      </c>
      <c r="B50" s="17">
        <v>0</v>
      </c>
      <c r="C50" s="20"/>
      <c r="D50" s="17">
        <v>0</v>
      </c>
      <c r="E50" s="20"/>
      <c r="F50" s="17">
        <v>0</v>
      </c>
      <c r="G50" s="20"/>
      <c r="H50" s="17">
        <v>0</v>
      </c>
    </row>
    <row r="51" spans="1:8">
      <c r="A51" s="21">
        <v>46176</v>
      </c>
      <c r="B51" s="17">
        <v>0</v>
      </c>
      <c r="C51" s="20"/>
      <c r="D51" s="17">
        <v>0</v>
      </c>
      <c r="E51" s="20"/>
      <c r="F51" s="17">
        <v>0</v>
      </c>
      <c r="G51" s="20"/>
      <c r="H51" s="17">
        <v>0</v>
      </c>
    </row>
    <row r="52" spans="1:8">
      <c r="A52" s="21">
        <v>46177</v>
      </c>
      <c r="B52" s="17">
        <v>200</v>
      </c>
      <c r="C52" s="20"/>
      <c r="D52" s="17">
        <v>150</v>
      </c>
      <c r="E52" s="20"/>
      <c r="F52" s="17">
        <v>150</v>
      </c>
      <c r="G52" s="20"/>
      <c r="H52" s="17">
        <v>150</v>
      </c>
    </row>
    <row r="53" spans="1:8">
      <c r="A53" s="21">
        <v>46178</v>
      </c>
      <c r="B53" s="17">
        <v>10878.022664</v>
      </c>
      <c r="C53" s="20"/>
      <c r="D53" s="17">
        <v>50</v>
      </c>
      <c r="E53" s="20"/>
      <c r="F53" s="17">
        <v>50</v>
      </c>
      <c r="G53" s="20"/>
      <c r="H53" s="17">
        <v>50</v>
      </c>
    </row>
    <row r="54" spans="1:8">
      <c r="A54" s="21">
        <v>46182</v>
      </c>
      <c r="B54" s="17">
        <v>0</v>
      </c>
      <c r="C54" s="20"/>
      <c r="D54" s="17">
        <v>0</v>
      </c>
      <c r="E54" s="20"/>
      <c r="F54" s="17">
        <v>0</v>
      </c>
      <c r="G54" s="20"/>
      <c r="H54" s="17">
        <v>0</v>
      </c>
    </row>
    <row r="55" spans="1:8">
      <c r="A55" s="21">
        <v>46183</v>
      </c>
      <c r="B55" s="17">
        <v>67565.465119999993</v>
      </c>
      <c r="C55" s="20"/>
      <c r="D55" s="17">
        <v>250</v>
      </c>
      <c r="E55" s="20"/>
      <c r="F55" s="17">
        <v>320</v>
      </c>
      <c r="G55" s="20"/>
      <c r="H55" s="17">
        <v>294.99</v>
      </c>
    </row>
    <row r="56" spans="1:8">
      <c r="A56" s="21">
        <v>46184</v>
      </c>
      <c r="B56" s="17">
        <v>0</v>
      </c>
      <c r="C56" s="20"/>
      <c r="D56" s="17">
        <v>0</v>
      </c>
      <c r="E56" s="20"/>
      <c r="F56" s="17">
        <v>0</v>
      </c>
      <c r="G56" s="20"/>
      <c r="H56" s="17">
        <v>0</v>
      </c>
    </row>
    <row r="57" spans="1:8">
      <c r="A57" s="21">
        <v>46185</v>
      </c>
      <c r="B57" s="17">
        <v>40962.766997999999</v>
      </c>
      <c r="C57" s="20"/>
      <c r="D57" s="17">
        <v>110</v>
      </c>
      <c r="E57" s="20"/>
      <c r="F57" s="17">
        <v>120</v>
      </c>
      <c r="G57" s="20"/>
      <c r="H57" s="17">
        <v>110.87</v>
      </c>
    </row>
    <row r="58" spans="1:8">
      <c r="A58" s="21">
        <v>46188</v>
      </c>
      <c r="B58" s="17">
        <v>13248.755665999999</v>
      </c>
      <c r="C58" s="20"/>
      <c r="D58" s="17">
        <v>290</v>
      </c>
      <c r="E58" s="20"/>
      <c r="F58" s="17">
        <v>330</v>
      </c>
      <c r="G58" s="20"/>
      <c r="H58" s="17">
        <v>300.5</v>
      </c>
    </row>
    <row r="59" spans="1:8">
      <c r="A59" s="21">
        <v>46189</v>
      </c>
      <c r="B59" s="17">
        <v>15884.312540000001</v>
      </c>
      <c r="C59" s="20"/>
      <c r="D59" s="17">
        <v>335</v>
      </c>
      <c r="E59" s="20"/>
      <c r="F59" s="17">
        <v>340</v>
      </c>
      <c r="G59" s="20"/>
      <c r="H59" s="17">
        <v>335.1</v>
      </c>
    </row>
    <row r="60" spans="1:8">
      <c r="A60" s="21">
        <v>46190</v>
      </c>
      <c r="B60" s="17">
        <v>51428.024998000001</v>
      </c>
      <c r="C60" s="20"/>
      <c r="D60" s="17">
        <v>300</v>
      </c>
      <c r="E60" s="20"/>
      <c r="F60" s="17">
        <v>340</v>
      </c>
      <c r="G60" s="20"/>
      <c r="H60" s="17">
        <v>314.18</v>
      </c>
    </row>
    <row r="61" spans="1:8">
      <c r="A61" s="21">
        <v>46191</v>
      </c>
      <c r="B61" s="17">
        <v>21477.350433</v>
      </c>
      <c r="C61" s="20"/>
      <c r="D61" s="17">
        <v>350</v>
      </c>
      <c r="E61" s="20"/>
      <c r="F61" s="17">
        <v>390</v>
      </c>
      <c r="G61" s="20"/>
      <c r="H61" s="17">
        <v>354.17</v>
      </c>
    </row>
    <row r="62" spans="1:8">
      <c r="A62" s="21">
        <v>46192</v>
      </c>
      <c r="B62" s="17">
        <v>19544.702092</v>
      </c>
      <c r="C62" s="20"/>
      <c r="D62" s="17">
        <v>120</v>
      </c>
      <c r="E62" s="20"/>
      <c r="F62" s="17">
        <v>125.02</v>
      </c>
      <c r="G62" s="20"/>
      <c r="H62" s="17">
        <v>121.88</v>
      </c>
    </row>
    <row r="63" spans="1:8">
      <c r="A63" s="21">
        <v>46195</v>
      </c>
      <c r="B63" s="17">
        <v>1676.4307650000001</v>
      </c>
      <c r="C63" s="20"/>
      <c r="D63" s="17">
        <v>350</v>
      </c>
      <c r="E63" s="20"/>
      <c r="F63" s="17">
        <v>360</v>
      </c>
      <c r="G63" s="20"/>
      <c r="H63" s="17">
        <v>351.2</v>
      </c>
    </row>
    <row r="64" spans="1:8">
      <c r="A64" s="21">
        <v>46196</v>
      </c>
      <c r="B64" s="17">
        <v>4776.4754999999996</v>
      </c>
      <c r="C64" s="20"/>
      <c r="D64" s="17">
        <v>140</v>
      </c>
      <c r="E64" s="20"/>
      <c r="F64" s="17">
        <v>350</v>
      </c>
      <c r="G64" s="20"/>
      <c r="H64" s="17">
        <v>184.42</v>
      </c>
    </row>
    <row r="65" spans="1:8">
      <c r="A65" s="21">
        <v>46198</v>
      </c>
      <c r="B65" s="17">
        <v>1740</v>
      </c>
      <c r="C65" s="20"/>
      <c r="D65" s="17">
        <v>120</v>
      </c>
      <c r="E65" s="20"/>
      <c r="F65" s="17">
        <v>300</v>
      </c>
      <c r="G65" s="20"/>
      <c r="H65" s="17">
        <v>282.06896551724139</v>
      </c>
    </row>
    <row r="66" spans="1:8">
      <c r="A66" s="21">
        <v>46203</v>
      </c>
      <c r="B66" s="17">
        <v>1904.22222222</v>
      </c>
      <c r="C66" s="20"/>
      <c r="D66" s="17">
        <v>0.01</v>
      </c>
      <c r="E66" s="20"/>
      <c r="F66" s="17">
        <v>0.01</v>
      </c>
      <c r="G66" s="20"/>
      <c r="H66" s="17">
        <v>0.01</v>
      </c>
    </row>
    <row r="67" spans="1:8">
      <c r="A67" s="21">
        <v>46204</v>
      </c>
      <c r="B67" s="17">
        <v>0</v>
      </c>
      <c r="C67" s="20"/>
      <c r="D67" s="17">
        <v>0</v>
      </c>
      <c r="E67" s="20"/>
      <c r="F67" s="17">
        <v>0</v>
      </c>
      <c r="G67" s="20"/>
      <c r="H67" s="17">
        <v>0</v>
      </c>
    </row>
    <row r="68" spans="1:8">
      <c r="A68" s="21">
        <v>46205</v>
      </c>
      <c r="B68" s="17">
        <v>2461.9</v>
      </c>
      <c r="C68" s="20"/>
      <c r="D68" s="17">
        <v>110</v>
      </c>
      <c r="E68" s="20"/>
      <c r="F68" s="17">
        <v>135</v>
      </c>
      <c r="G68" s="20"/>
      <c r="H68" s="17">
        <v>131.66</v>
      </c>
    </row>
    <row r="69" spans="1:8">
      <c r="A69" s="21">
        <v>46206</v>
      </c>
      <c r="B69" s="17">
        <v>279.5</v>
      </c>
      <c r="C69" s="20"/>
      <c r="D69" s="17">
        <v>5</v>
      </c>
      <c r="E69" s="20"/>
      <c r="F69" s="17">
        <v>60</v>
      </c>
      <c r="G69" s="20"/>
      <c r="H69" s="17">
        <v>54.19</v>
      </c>
    </row>
    <row r="70" spans="1:8">
      <c r="A70" s="21">
        <v>46209</v>
      </c>
      <c r="B70" s="17">
        <v>0</v>
      </c>
      <c r="C70" s="20"/>
      <c r="D70" s="17">
        <v>0</v>
      </c>
      <c r="E70" s="20"/>
      <c r="F70" s="17">
        <v>0</v>
      </c>
      <c r="G70" s="20"/>
      <c r="H70" s="17">
        <v>0</v>
      </c>
    </row>
    <row r="71" spans="1:8">
      <c r="A71" s="21">
        <v>46210</v>
      </c>
      <c r="B71" s="17">
        <v>0</v>
      </c>
      <c r="C71" s="20"/>
      <c r="D71" s="17">
        <v>0</v>
      </c>
      <c r="E71" s="20"/>
      <c r="F71" s="17">
        <v>0</v>
      </c>
      <c r="G71" s="20"/>
      <c r="H71" s="17">
        <v>0</v>
      </c>
    </row>
    <row r="72" spans="1:8">
      <c r="A72" s="21">
        <v>46211</v>
      </c>
      <c r="B72" s="17">
        <v>0</v>
      </c>
      <c r="C72" s="20"/>
      <c r="D72" s="17">
        <v>0</v>
      </c>
      <c r="E72" s="20"/>
      <c r="F72" s="17">
        <v>0</v>
      </c>
      <c r="G72" s="20"/>
      <c r="H72" s="17">
        <v>0</v>
      </c>
    </row>
    <row r="73" spans="1:8">
      <c r="A73" s="21">
        <v>46212</v>
      </c>
      <c r="B73" s="17">
        <v>3000</v>
      </c>
      <c r="C73" s="20"/>
      <c r="D73" s="17">
        <v>1</v>
      </c>
      <c r="E73" s="20"/>
      <c r="F73" s="17">
        <v>1</v>
      </c>
      <c r="G73" s="20"/>
      <c r="H73" s="17">
        <v>1</v>
      </c>
    </row>
    <row r="74" spans="1:8">
      <c r="A74" s="21">
        <v>46213</v>
      </c>
      <c r="B74" s="17">
        <v>0</v>
      </c>
      <c r="C74" s="20"/>
      <c r="D74" s="17">
        <v>0</v>
      </c>
      <c r="E74" s="20"/>
      <c r="F74" s="17">
        <v>0</v>
      </c>
      <c r="G74" s="20"/>
      <c r="H74" s="17">
        <v>0</v>
      </c>
    </row>
    <row r="75" spans="1:8">
      <c r="A75" s="21">
        <v>46216</v>
      </c>
      <c r="B75" s="17">
        <v>0</v>
      </c>
      <c r="C75" s="20"/>
      <c r="D75" s="17">
        <v>0</v>
      </c>
      <c r="E75" s="20"/>
      <c r="F75" s="17">
        <v>0</v>
      </c>
      <c r="G75" s="20"/>
      <c r="H75" s="17">
        <v>0</v>
      </c>
    </row>
    <row r="76" spans="1:8">
      <c r="A76" s="21">
        <v>46217</v>
      </c>
      <c r="B76" s="17">
        <v>0</v>
      </c>
      <c r="C76" s="20"/>
      <c r="D76" s="17">
        <v>0</v>
      </c>
      <c r="E76" s="20"/>
      <c r="F76" s="17">
        <v>0</v>
      </c>
      <c r="G76" s="20"/>
      <c r="H76" s="17">
        <v>0</v>
      </c>
    </row>
    <row r="77" spans="1:8">
      <c r="A77" s="21">
        <v>46218</v>
      </c>
      <c r="B77" s="17">
        <v>217.41</v>
      </c>
      <c r="C77" s="20"/>
      <c r="D77" s="17">
        <v>50</v>
      </c>
      <c r="E77" s="20"/>
      <c r="F77" s="17">
        <v>200</v>
      </c>
      <c r="G77" s="20"/>
      <c r="H77" s="17">
        <v>165.7</v>
      </c>
    </row>
    <row r="78" spans="1:8">
      <c r="A78" s="21">
        <v>46219</v>
      </c>
      <c r="B78" s="17">
        <v>517.9</v>
      </c>
      <c r="C78" s="20"/>
      <c r="D78" s="17">
        <v>50</v>
      </c>
      <c r="E78" s="20"/>
      <c r="F78" s="17">
        <v>120</v>
      </c>
      <c r="G78" s="20"/>
      <c r="H78" s="17">
        <v>119.03</v>
      </c>
    </row>
    <row r="79" spans="1:8">
      <c r="A79" s="21">
        <v>46190</v>
      </c>
      <c r="B79" s="17">
        <v>31613.569407999999</v>
      </c>
      <c r="C79" s="20"/>
      <c r="D79" s="17">
        <v>25</v>
      </c>
      <c r="E79" s="20"/>
      <c r="F79" s="17">
        <v>85</v>
      </c>
      <c r="G79" s="20"/>
      <c r="H79" s="17">
        <v>80.14</v>
      </c>
    </row>
    <row r="80" spans="1:8">
      <c r="A80" s="21">
        <v>46224</v>
      </c>
      <c r="B80" s="17">
        <v>880</v>
      </c>
      <c r="C80" s="20"/>
      <c r="D80" s="17">
        <v>150</v>
      </c>
      <c r="E80" s="20"/>
      <c r="F80" s="17">
        <v>200</v>
      </c>
      <c r="G80" s="20"/>
      <c r="H80" s="17">
        <v>184.77</v>
      </c>
    </row>
    <row r="81" spans="1:8">
      <c r="A81" s="21">
        <v>46225</v>
      </c>
      <c r="B81" s="17">
        <v>0</v>
      </c>
      <c r="C81" s="20"/>
      <c r="D81" s="17">
        <v>0</v>
      </c>
      <c r="E81" s="20"/>
      <c r="F81" s="17">
        <v>0</v>
      </c>
      <c r="G81" s="20"/>
      <c r="H81" s="17">
        <v>0</v>
      </c>
    </row>
    <row r="82" spans="1:8">
      <c r="A82" s="21">
        <v>46226</v>
      </c>
      <c r="B82" s="17">
        <v>0</v>
      </c>
      <c r="C82" s="20"/>
      <c r="D82" s="17">
        <v>0</v>
      </c>
      <c r="E82" s="20"/>
      <c r="F82" s="17">
        <v>0</v>
      </c>
      <c r="G82" s="20"/>
      <c r="H82" s="17">
        <v>0</v>
      </c>
    </row>
    <row r="83" spans="1:8">
      <c r="A83" s="21">
        <v>46230</v>
      </c>
      <c r="B83" s="17">
        <v>0</v>
      </c>
      <c r="C83" s="20"/>
      <c r="D83" s="17">
        <v>0</v>
      </c>
      <c r="E83" s="20"/>
      <c r="F83" s="17">
        <v>0</v>
      </c>
      <c r="G83" s="20"/>
      <c r="H83" s="17">
        <v>0</v>
      </c>
    </row>
    <row r="84" spans="1:8">
      <c r="A84" s="21">
        <v>46231</v>
      </c>
      <c r="B84" s="17">
        <v>230</v>
      </c>
      <c r="C84" s="20"/>
      <c r="D84" s="17">
        <v>90</v>
      </c>
      <c r="E84" s="20"/>
      <c r="F84" s="17">
        <v>100</v>
      </c>
      <c r="G84" s="20"/>
      <c r="H84" s="17">
        <v>95</v>
      </c>
    </row>
    <row r="85" spans="1:8">
      <c r="A85" s="21">
        <v>46232</v>
      </c>
      <c r="B85" s="17">
        <v>20</v>
      </c>
      <c r="C85" s="20"/>
      <c r="D85" s="17">
        <v>100</v>
      </c>
      <c r="E85" s="20"/>
      <c r="F85" s="17">
        <v>100</v>
      </c>
      <c r="G85" s="20"/>
      <c r="H85" s="17">
        <v>100</v>
      </c>
    </row>
    <row r="86" spans="1:8">
      <c r="A86" s="21">
        <v>46233</v>
      </c>
      <c r="B86" s="17">
        <v>280</v>
      </c>
      <c r="C86" s="20"/>
      <c r="D86" s="17">
        <v>40</v>
      </c>
      <c r="E86" s="20"/>
      <c r="F86" s="17">
        <v>100</v>
      </c>
      <c r="G86" s="20"/>
      <c r="H86" s="17">
        <v>66.430000000000007</v>
      </c>
    </row>
    <row r="87" spans="1:8">
      <c r="A87" s="21">
        <v>46234</v>
      </c>
      <c r="B87" s="17">
        <v>60</v>
      </c>
      <c r="C87" s="20"/>
      <c r="D87" s="17">
        <v>40</v>
      </c>
      <c r="E87" s="20"/>
      <c r="F87" s="17">
        <v>40</v>
      </c>
      <c r="G87" s="20"/>
      <c r="H87" s="17">
        <v>40</v>
      </c>
    </row>
    <row r="88" spans="1:8">
      <c r="A88" s="21">
        <v>46237</v>
      </c>
      <c r="B88" s="17">
        <v>1500</v>
      </c>
      <c r="C88" s="20"/>
      <c r="D88" s="17">
        <v>110</v>
      </c>
      <c r="E88" s="20"/>
      <c r="F88" s="17">
        <v>110</v>
      </c>
      <c r="G88" s="20"/>
      <c r="H88" s="17">
        <v>110</v>
      </c>
    </row>
    <row r="89" spans="1:8">
      <c r="A89" s="21">
        <v>46238</v>
      </c>
      <c r="B89" s="17">
        <v>0</v>
      </c>
      <c r="C89" s="20"/>
      <c r="D89" s="17">
        <v>0</v>
      </c>
      <c r="E89" s="20"/>
      <c r="F89" s="17">
        <v>0</v>
      </c>
      <c r="G89" s="20"/>
      <c r="H89" s="17">
        <v>0</v>
      </c>
    </row>
    <row r="90" spans="1:8">
      <c r="A90" s="21">
        <v>46239</v>
      </c>
      <c r="B90" s="17">
        <v>0</v>
      </c>
      <c r="C90" s="20"/>
      <c r="D90" s="17">
        <v>0</v>
      </c>
      <c r="E90" s="20"/>
      <c r="F90" s="17">
        <v>0</v>
      </c>
      <c r="G90" s="20"/>
      <c r="H90" s="17">
        <v>0</v>
      </c>
    </row>
    <row r="91" spans="1:8">
      <c r="A91" s="21">
        <v>46240</v>
      </c>
      <c r="B91" s="17">
        <v>0</v>
      </c>
      <c r="C91" s="20"/>
      <c r="D91" s="17">
        <v>0</v>
      </c>
      <c r="E91" s="20"/>
      <c r="F91" s="17">
        <v>0</v>
      </c>
      <c r="G91" s="20"/>
      <c r="H91" s="17">
        <v>0</v>
      </c>
    </row>
    <row r="92" spans="1:8">
      <c r="A92" s="21">
        <v>46241</v>
      </c>
      <c r="B92" s="17">
        <v>100</v>
      </c>
      <c r="C92" s="20"/>
      <c r="D92" s="17">
        <v>90</v>
      </c>
      <c r="E92" s="20"/>
      <c r="F92" s="17">
        <v>100</v>
      </c>
      <c r="G92" s="20"/>
      <c r="H92" s="17">
        <v>95</v>
      </c>
    </row>
    <row r="93" spans="1:8">
      <c r="A93" s="21">
        <v>46244</v>
      </c>
      <c r="B93" s="17">
        <v>0</v>
      </c>
      <c r="C93" s="20"/>
      <c r="D93" s="17">
        <v>0</v>
      </c>
      <c r="E93" s="20"/>
      <c r="F93" s="17">
        <v>0</v>
      </c>
      <c r="G93" s="20"/>
      <c r="H93" s="17">
        <v>0</v>
      </c>
    </row>
    <row r="94" spans="1:8">
      <c r="A94" s="21">
        <v>46245</v>
      </c>
      <c r="B94" s="17">
        <v>100</v>
      </c>
      <c r="D94" s="17">
        <v>90</v>
      </c>
      <c r="F94" s="17">
        <v>100</v>
      </c>
      <c r="H94" s="17">
        <v>95</v>
      </c>
    </row>
    <row r="95" spans="1:8">
      <c r="A95" s="21">
        <v>46246</v>
      </c>
      <c r="B95" s="17">
        <v>2710.8615399999999</v>
      </c>
      <c r="C95" s="20"/>
      <c r="D95" s="17">
        <v>90</v>
      </c>
      <c r="E95" s="20"/>
      <c r="F95" s="17">
        <v>160</v>
      </c>
      <c r="G95" s="20"/>
      <c r="H95" s="17">
        <v>143.79</v>
      </c>
    </row>
    <row r="96" spans="1:8">
      <c r="A96" s="21">
        <v>46247</v>
      </c>
      <c r="B96" s="17">
        <v>480</v>
      </c>
      <c r="C96" s="20"/>
      <c r="D96" s="17">
        <v>90</v>
      </c>
      <c r="E96" s="20"/>
      <c r="F96" s="17">
        <v>100</v>
      </c>
      <c r="G96" s="20"/>
      <c r="H96" s="17">
        <v>95</v>
      </c>
    </row>
    <row r="97" spans="1:8">
      <c r="A97" s="21">
        <v>46248</v>
      </c>
      <c r="B97" s="17">
        <v>4514.1648089999999</v>
      </c>
      <c r="C97" s="20"/>
      <c r="D97" s="17">
        <v>70</v>
      </c>
      <c r="E97" s="20"/>
      <c r="F97" s="17">
        <v>70</v>
      </c>
      <c r="G97" s="20"/>
      <c r="H97" s="17">
        <v>70</v>
      </c>
    </row>
    <row r="98" spans="1:8">
      <c r="A98" s="21">
        <v>46251</v>
      </c>
      <c r="B98" s="17">
        <v>0</v>
      </c>
      <c r="C98" s="20"/>
      <c r="D98" s="17">
        <v>0</v>
      </c>
      <c r="E98" s="20"/>
      <c r="F98" s="17">
        <v>0</v>
      </c>
      <c r="G98" s="20"/>
      <c r="H98" s="17">
        <v>0</v>
      </c>
    </row>
    <row r="99" spans="1:8">
      <c r="A99" s="21">
        <v>46252</v>
      </c>
      <c r="B99" s="17">
        <v>120</v>
      </c>
      <c r="C99" s="20"/>
      <c r="D99" s="17">
        <v>90</v>
      </c>
      <c r="E99" s="20"/>
      <c r="F99" s="17">
        <v>100</v>
      </c>
      <c r="G99" s="20"/>
      <c r="H99" s="17">
        <v>95</v>
      </c>
    </row>
    <row r="100" spans="1:8">
      <c r="A100" s="21">
        <v>46253</v>
      </c>
      <c r="B100" s="17">
        <v>0</v>
      </c>
      <c r="C100" s="20"/>
      <c r="D100" s="17">
        <v>0</v>
      </c>
      <c r="E100" s="20"/>
      <c r="F100" s="17">
        <v>0</v>
      </c>
      <c r="G100" s="20"/>
      <c r="H100" s="17">
        <v>0</v>
      </c>
    </row>
    <row r="101" spans="1:8">
      <c r="A101" s="21">
        <v>46254</v>
      </c>
      <c r="B101" s="17">
        <v>0</v>
      </c>
      <c r="C101" s="20"/>
      <c r="D101" s="17">
        <v>0</v>
      </c>
      <c r="E101" s="20"/>
      <c r="F101" s="17">
        <v>0</v>
      </c>
      <c r="G101" s="20"/>
      <c r="H101" s="17">
        <v>0</v>
      </c>
    </row>
    <row r="102" spans="1:8">
      <c r="A102" s="21">
        <v>46255</v>
      </c>
      <c r="B102" s="17">
        <v>0</v>
      </c>
      <c r="C102" s="20"/>
      <c r="D102" s="17">
        <v>0</v>
      </c>
      <c r="E102" s="20"/>
      <c r="F102" s="17">
        <v>0</v>
      </c>
      <c r="G102" s="20"/>
      <c r="H102" s="17">
        <v>0</v>
      </c>
    </row>
    <row r="103" spans="1:8">
      <c r="A103" s="21">
        <v>46256</v>
      </c>
      <c r="B103" s="17">
        <v>60</v>
      </c>
      <c r="C103" s="20"/>
      <c r="D103" s="17">
        <v>90</v>
      </c>
      <c r="E103" s="20"/>
      <c r="F103" s="17">
        <v>100</v>
      </c>
      <c r="G103" s="20"/>
      <c r="H103" s="17">
        <v>95</v>
      </c>
    </row>
    <row r="104" spans="1:8">
      <c r="A104" s="21">
        <v>46259</v>
      </c>
      <c r="B104" s="17">
        <v>53</v>
      </c>
      <c r="C104" s="20"/>
      <c r="D104" s="17">
        <v>250</v>
      </c>
      <c r="E104" s="20"/>
      <c r="F104" s="17">
        <v>250</v>
      </c>
      <c r="G104" s="20"/>
      <c r="H104" s="17">
        <v>250</v>
      </c>
    </row>
    <row r="105" spans="1:8">
      <c r="A105" s="21">
        <v>46260</v>
      </c>
      <c r="B105" s="17">
        <v>266</v>
      </c>
      <c r="C105" s="20"/>
      <c r="D105" s="17">
        <v>120</v>
      </c>
      <c r="E105" s="20"/>
      <c r="F105" s="17">
        <v>250</v>
      </c>
      <c r="G105" s="20"/>
      <c r="H105" s="17">
        <v>183.16</v>
      </c>
    </row>
    <row r="106" spans="1:8">
      <c r="A106" s="21">
        <v>46261</v>
      </c>
      <c r="B106" s="17">
        <v>175</v>
      </c>
      <c r="C106" s="20"/>
      <c r="D106" s="17">
        <v>90</v>
      </c>
      <c r="E106" s="20"/>
      <c r="F106" s="17">
        <v>100</v>
      </c>
      <c r="G106" s="20"/>
      <c r="H106" s="17">
        <v>96</v>
      </c>
    </row>
    <row r="107" spans="1:8">
      <c r="A107" s="21">
        <v>46262</v>
      </c>
      <c r="B107" s="17">
        <v>800</v>
      </c>
      <c r="C107" s="20"/>
      <c r="D107" s="17">
        <v>50</v>
      </c>
      <c r="E107" s="20"/>
      <c r="F107" s="17">
        <v>500</v>
      </c>
      <c r="G107" s="20"/>
      <c r="H107" s="17">
        <v>275</v>
      </c>
    </row>
    <row r="108" spans="1:8">
      <c r="A108" s="21">
        <v>46265</v>
      </c>
      <c r="B108" s="17">
        <v>60</v>
      </c>
      <c r="C108" s="20"/>
      <c r="D108" s="17">
        <v>40</v>
      </c>
      <c r="E108" s="20"/>
      <c r="F108" s="17">
        <v>40</v>
      </c>
      <c r="G108" s="20"/>
      <c r="H108" s="17">
        <v>40</v>
      </c>
    </row>
    <row r="109" spans="1:8">
      <c r="A109" s="21">
        <v>46266</v>
      </c>
      <c r="B109" s="17">
        <v>0</v>
      </c>
      <c r="C109" s="20"/>
      <c r="D109" s="17">
        <v>0</v>
      </c>
      <c r="E109" s="20"/>
      <c r="F109" s="17">
        <v>0</v>
      </c>
      <c r="G109" s="20"/>
      <c r="H109" s="17">
        <v>0</v>
      </c>
    </row>
    <row r="110" spans="1:8">
      <c r="A110" s="21">
        <v>46267</v>
      </c>
      <c r="B110" s="17">
        <v>700</v>
      </c>
      <c r="C110" s="20"/>
      <c r="D110" s="17">
        <v>90</v>
      </c>
      <c r="E110" s="20"/>
      <c r="F110" s="17">
        <v>100</v>
      </c>
      <c r="G110" s="20"/>
      <c r="H110" s="17">
        <v>95</v>
      </c>
    </row>
    <row r="111" spans="1:8">
      <c r="A111" s="21">
        <v>46268</v>
      </c>
      <c r="B111" s="17">
        <v>420</v>
      </c>
      <c r="C111" s="20"/>
      <c r="D111" s="17">
        <v>80</v>
      </c>
      <c r="E111" s="20"/>
      <c r="F111" s="17">
        <v>100</v>
      </c>
      <c r="G111" s="20"/>
      <c r="H111" s="17">
        <v>91.19</v>
      </c>
    </row>
    <row r="112" spans="1:8">
      <c r="A112" s="21">
        <v>46269</v>
      </c>
      <c r="B112" s="17">
        <v>604</v>
      </c>
      <c r="C112" s="20"/>
      <c r="D112" s="17">
        <v>20</v>
      </c>
      <c r="E112" s="20"/>
      <c r="F112" s="17">
        <v>30</v>
      </c>
      <c r="G112" s="20"/>
      <c r="H112" s="17">
        <v>26.75</v>
      </c>
    </row>
    <row r="113" spans="1:8">
      <c r="A113" s="21">
        <v>46272</v>
      </c>
      <c r="B113" s="17">
        <v>1389.4680000000001</v>
      </c>
      <c r="C113" s="20"/>
      <c r="D113" s="17">
        <v>90</v>
      </c>
      <c r="E113" s="20"/>
      <c r="F113" s="17">
        <v>300</v>
      </c>
      <c r="G113" s="20"/>
      <c r="H113" s="17">
        <v>171.07</v>
      </c>
    </row>
    <row r="114" spans="1:8">
      <c r="A114" s="21">
        <v>46273</v>
      </c>
      <c r="B114" s="17">
        <v>1000</v>
      </c>
      <c r="C114" s="20"/>
      <c r="D114" s="17">
        <v>90</v>
      </c>
      <c r="E114" s="20"/>
      <c r="F114" s="17">
        <v>100</v>
      </c>
      <c r="G114" s="20"/>
      <c r="H114" s="17">
        <v>95</v>
      </c>
    </row>
    <row r="115" spans="1:8">
      <c r="A115" s="21">
        <v>47370</v>
      </c>
      <c r="B115" s="17">
        <v>386</v>
      </c>
      <c r="C115" s="20"/>
      <c r="D115" s="17">
        <v>60</v>
      </c>
      <c r="E115" s="20"/>
      <c r="F115" s="17">
        <v>100</v>
      </c>
      <c r="G115" s="20"/>
      <c r="H115" s="17">
        <v>80</v>
      </c>
    </row>
    <row r="116" spans="1:8">
      <c r="A116" s="21">
        <v>46275</v>
      </c>
      <c r="B116" s="17">
        <v>300</v>
      </c>
      <c r="C116" s="20"/>
      <c r="D116" s="17">
        <v>60</v>
      </c>
      <c r="E116" s="20"/>
      <c r="F116" s="17">
        <v>100</v>
      </c>
      <c r="G116" s="20"/>
      <c r="H116" s="17">
        <v>80</v>
      </c>
    </row>
    <row r="117" spans="1:8">
      <c r="A117" s="21">
        <v>46276</v>
      </c>
      <c r="B117" s="17">
        <v>108</v>
      </c>
      <c r="C117" s="20"/>
      <c r="D117" s="17">
        <v>60</v>
      </c>
      <c r="E117" s="20"/>
      <c r="F117" s="17">
        <v>100</v>
      </c>
      <c r="G117" s="20"/>
      <c r="H117" s="17">
        <v>80</v>
      </c>
    </row>
    <row r="118" spans="1:8">
      <c r="A118" s="21">
        <v>46280</v>
      </c>
      <c r="B118" s="17">
        <v>2571.288</v>
      </c>
      <c r="C118" s="20"/>
      <c r="D118" s="17">
        <v>100</v>
      </c>
      <c r="E118" s="20"/>
      <c r="F118" s="17">
        <v>150</v>
      </c>
      <c r="G118" s="20"/>
      <c r="H118" s="17">
        <v>110.92</v>
      </c>
    </row>
    <row r="119" spans="1:8">
      <c r="A119" s="21">
        <v>46281</v>
      </c>
      <c r="B119" s="17">
        <v>10800</v>
      </c>
      <c r="C119" s="20"/>
      <c r="D119" s="17">
        <v>200</v>
      </c>
      <c r="E119" s="20"/>
      <c r="F119" s="17">
        <v>200</v>
      </c>
      <c r="G119" s="20"/>
      <c r="H119" s="17">
        <v>200</v>
      </c>
    </row>
    <row r="120" spans="1:8">
      <c r="A120" s="21">
        <v>46282</v>
      </c>
      <c r="B120" s="17">
        <v>3168.1590000000001</v>
      </c>
      <c r="C120" s="20"/>
      <c r="D120" s="17">
        <v>90</v>
      </c>
      <c r="E120" s="20"/>
      <c r="F120" s="17">
        <v>250</v>
      </c>
      <c r="G120" s="20"/>
      <c r="H120" s="17">
        <v>247.55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4" customFormat="1" ht="15" customHeight="1">
      <c r="A2" s="25">
        <v>46282</v>
      </c>
      <c r="B2" s="24">
        <v>82707.40661228</v>
      </c>
      <c r="C2" s="30">
        <f t="shared" ref="C2:C66" si="0">+(B2-B3)/B3</f>
        <v>28.486447660130633</v>
      </c>
      <c r="D2" s="24" t="s">
        <v>8</v>
      </c>
      <c r="E2" s="5">
        <v>42155.425069182624</v>
      </c>
    </row>
    <row r="3" spans="1:5" ht="17.25" customHeight="1">
      <c r="A3" s="25">
        <v>46281</v>
      </c>
      <c r="B3" s="24">
        <v>2804.9294905100001</v>
      </c>
      <c r="C3" s="30">
        <f t="shared" si="0"/>
        <v>54.85948274687906</v>
      </c>
      <c r="D3" s="24" t="s">
        <v>9</v>
      </c>
      <c r="E3" s="5">
        <v>68497.757342013356</v>
      </c>
    </row>
    <row r="4" spans="1:5">
      <c r="A4" s="25">
        <v>46280</v>
      </c>
      <c r="B4" s="24">
        <v>50.214025489999997</v>
      </c>
      <c r="C4" s="30">
        <f t="shared" si="0"/>
        <v>0.37097114686342592</v>
      </c>
      <c r="D4" s="24" t="s">
        <v>10</v>
      </c>
      <c r="E4" s="6">
        <v>85928.931135131905</v>
      </c>
    </row>
    <row r="5" spans="1:5">
      <c r="A5" s="25">
        <v>46276</v>
      </c>
      <c r="B5" s="24">
        <v>36.626609979999998</v>
      </c>
      <c r="C5" s="30">
        <f t="shared" si="0"/>
        <v>-0.67806849277578529</v>
      </c>
      <c r="D5" s="24" t="s">
        <v>30</v>
      </c>
      <c r="E5" s="6">
        <v>22227.4775024345</v>
      </c>
    </row>
    <row r="6" spans="1:5">
      <c r="A6" s="25">
        <v>46275</v>
      </c>
      <c r="B6" s="24">
        <v>113.77143633999999</v>
      </c>
      <c r="C6" s="30">
        <f t="shared" si="0"/>
        <v>18.560573043109468</v>
      </c>
      <c r="D6" t="s">
        <v>31</v>
      </c>
      <c r="E6" s="6">
        <v>24565.759999999998</v>
      </c>
    </row>
    <row r="7" spans="1:5">
      <c r="A7" s="25">
        <v>46274</v>
      </c>
      <c r="B7" s="24">
        <v>5.8163651999999999</v>
      </c>
      <c r="C7" s="30">
        <f t="shared" si="0"/>
        <v>0.64045278098882874</v>
      </c>
      <c r="D7" t="s">
        <v>32</v>
      </c>
      <c r="E7" s="6">
        <v>10177.18</v>
      </c>
    </row>
    <row r="8" spans="1:5">
      <c r="A8" s="25">
        <v>46273</v>
      </c>
      <c r="B8" s="24">
        <v>3.5455852600000002</v>
      </c>
      <c r="C8" s="30">
        <f t="shared" si="0"/>
        <v>-0.82640880552358198</v>
      </c>
      <c r="D8" t="s">
        <v>36</v>
      </c>
      <c r="E8" s="34">
        <v>15136.68</v>
      </c>
    </row>
    <row r="9" spans="1:5">
      <c r="A9" s="25">
        <v>46272</v>
      </c>
      <c r="B9" s="24">
        <v>20.42491424</v>
      </c>
      <c r="C9" s="30">
        <f t="shared" si="0"/>
        <v>2.4737529624349173</v>
      </c>
      <c r="D9" t="s">
        <v>37</v>
      </c>
      <c r="E9" s="35" t="s">
        <v>38</v>
      </c>
    </row>
    <row r="10" spans="1:5">
      <c r="A10" s="25">
        <v>46269</v>
      </c>
      <c r="B10" s="24">
        <v>5.8797831800000004</v>
      </c>
      <c r="C10" s="30">
        <f t="shared" si="0"/>
        <v>-0.97953700801723442</v>
      </c>
    </row>
    <row r="11" spans="1:5">
      <c r="A11" s="25">
        <v>46268</v>
      </c>
      <c r="B11" s="24">
        <v>287.33741307000003</v>
      </c>
      <c r="C11" s="30">
        <f t="shared" si="0"/>
        <v>80.163058476193896</v>
      </c>
    </row>
    <row r="12" spans="1:5">
      <c r="A12" s="25">
        <v>46267</v>
      </c>
      <c r="B12" s="24">
        <v>3.5402487100000002</v>
      </c>
      <c r="C12" s="30">
        <f t="shared" si="0"/>
        <v>-0.77463732472189939</v>
      </c>
      <c r="E12" s="37"/>
    </row>
    <row r="13" spans="1:5">
      <c r="A13" s="25">
        <v>46266</v>
      </c>
      <c r="B13" s="24">
        <v>15.709117340000001</v>
      </c>
      <c r="C13" s="30">
        <f t="shared" si="0"/>
        <v>-0.99727371031195</v>
      </c>
    </row>
    <row r="14" spans="1:5">
      <c r="A14" s="25">
        <v>46265</v>
      </c>
      <c r="B14" s="24">
        <v>5762.0866222900004</v>
      </c>
      <c r="C14" s="30">
        <f t="shared" si="0"/>
        <v>1028.4103166122507</v>
      </c>
    </row>
    <row r="15" spans="1:5">
      <c r="A15" s="25">
        <v>46262</v>
      </c>
      <c r="B15" s="24">
        <v>5.5974634500000002</v>
      </c>
      <c r="C15" s="30">
        <f t="shared" si="0"/>
        <v>-0.98760095272084658</v>
      </c>
    </row>
    <row r="16" spans="1:5">
      <c r="A16" s="25">
        <v>46261</v>
      </c>
      <c r="B16" s="24">
        <v>451.44302815999998</v>
      </c>
      <c r="C16" s="30">
        <f t="shared" si="0"/>
        <v>98.812318362183703</v>
      </c>
    </row>
    <row r="17" spans="1:5">
      <c r="A17" s="25">
        <v>46260</v>
      </c>
      <c r="B17" s="24">
        <v>4.5229189700000001</v>
      </c>
      <c r="C17" s="30">
        <f t="shared" si="0"/>
        <v>-0.9864837734804992</v>
      </c>
    </row>
    <row r="18" spans="1:5">
      <c r="A18" s="25">
        <v>46259</v>
      </c>
      <c r="B18" s="24">
        <v>334.62882287999997</v>
      </c>
      <c r="C18" s="30">
        <f t="shared" si="0"/>
        <v>74.639780601233326</v>
      </c>
      <c r="E18" s="7"/>
    </row>
    <row r="19" spans="1:5">
      <c r="A19" s="25">
        <v>46256</v>
      </c>
      <c r="B19" s="24">
        <v>4.4239792900000001</v>
      </c>
      <c r="C19" s="30">
        <f t="shared" si="0"/>
        <v>-0.96494750708048294</v>
      </c>
      <c r="E19" s="7"/>
    </row>
    <row r="20" spans="1:5">
      <c r="A20" s="25">
        <v>46255</v>
      </c>
      <c r="B20" s="24">
        <v>126.21011864</v>
      </c>
      <c r="C20" s="30">
        <f t="shared" si="0"/>
        <v>71.190985743560688</v>
      </c>
    </row>
    <row r="21" spans="1:5">
      <c r="A21" s="25">
        <v>46254</v>
      </c>
      <c r="B21" s="24">
        <v>1.7482808599999999</v>
      </c>
      <c r="C21" s="30">
        <f t="shared" si="0"/>
        <v>-5.8184422793468707E-2</v>
      </c>
    </row>
    <row r="22" spans="1:5">
      <c r="A22" s="25">
        <v>46253</v>
      </c>
      <c r="B22" s="24">
        <v>1.8562879000000001</v>
      </c>
      <c r="C22" s="30">
        <f t="shared" si="0"/>
        <v>2.7977445325652688E-3</v>
      </c>
    </row>
    <row r="23" spans="1:5">
      <c r="A23" s="25">
        <v>46252</v>
      </c>
      <c r="B23" s="24">
        <v>1.8511089700000001</v>
      </c>
      <c r="C23" s="30">
        <f t="shared" si="0"/>
        <v>-0.85226798513183877</v>
      </c>
    </row>
    <row r="24" spans="1:5">
      <c r="A24" s="25">
        <v>46251</v>
      </c>
      <c r="B24" s="24">
        <v>12.53018157</v>
      </c>
      <c r="C24" s="30">
        <f t="shared" si="0"/>
        <v>1.9051656117130662</v>
      </c>
    </row>
    <row r="25" spans="1:5">
      <c r="A25" s="25">
        <v>46248</v>
      </c>
      <c r="B25" s="24">
        <v>4.3130696300000002</v>
      </c>
      <c r="C25" s="30">
        <f t="shared" si="0"/>
        <v>0.67644958648237985</v>
      </c>
    </row>
    <row r="26" spans="1:5">
      <c r="A26" s="25">
        <v>46247</v>
      </c>
      <c r="B26" s="24">
        <v>2.5727404300000001</v>
      </c>
      <c r="C26" s="30">
        <f t="shared" si="0"/>
        <v>7.9800987331472867E-2</v>
      </c>
    </row>
    <row r="27" spans="1:5">
      <c r="A27" s="25">
        <v>46246</v>
      </c>
      <c r="B27" s="24">
        <v>2.3826061100000002</v>
      </c>
      <c r="C27" s="30">
        <f t="shared" si="0"/>
        <v>-0.998836660607344</v>
      </c>
    </row>
    <row r="28" spans="1:5">
      <c r="A28" s="25">
        <v>46245</v>
      </c>
      <c r="B28" s="24">
        <v>2048.0748137999999</v>
      </c>
      <c r="C28" s="30">
        <f t="shared" si="0"/>
        <v>493.39746561225513</v>
      </c>
    </row>
    <row r="29" spans="1:5">
      <c r="A29" s="25">
        <v>46244</v>
      </c>
      <c r="B29" s="24">
        <v>4.14256738</v>
      </c>
      <c r="C29" s="30">
        <f t="shared" si="0"/>
        <v>-0.99973486131357592</v>
      </c>
    </row>
    <row r="30" spans="1:5">
      <c r="A30" s="25">
        <v>46241</v>
      </c>
      <c r="B30" s="24">
        <v>15624.152913600001</v>
      </c>
      <c r="C30" s="30">
        <f t="shared" si="0"/>
        <v>4796.873754983676</v>
      </c>
    </row>
    <row r="31" spans="1:5">
      <c r="A31" s="25">
        <v>46240</v>
      </c>
      <c r="B31" s="24">
        <v>3.2564743699999998</v>
      </c>
      <c r="C31" s="30">
        <f t="shared" si="0"/>
        <v>0.15942681787904545</v>
      </c>
    </row>
    <row r="32" spans="1:5">
      <c r="A32" s="25">
        <v>46239</v>
      </c>
      <c r="B32" s="24">
        <v>2.8086933300000001</v>
      </c>
      <c r="C32" s="30">
        <f t="shared" si="0"/>
        <v>-0.99437447438816284</v>
      </c>
    </row>
    <row r="33" spans="1:3">
      <c r="A33" s="25">
        <v>46238</v>
      </c>
      <c r="B33" s="24">
        <v>499.27660521000001</v>
      </c>
      <c r="C33" s="30">
        <f t="shared" si="0"/>
        <v>75.11816589074563</v>
      </c>
    </row>
    <row r="34" spans="1:3">
      <c r="A34" s="25">
        <v>46237</v>
      </c>
      <c r="B34" s="24">
        <v>6.5592306300000001</v>
      </c>
      <c r="C34" s="30">
        <f t="shared" si="0"/>
        <v>-0.99966330474421161</v>
      </c>
    </row>
    <row r="35" spans="1:3">
      <c r="A35" s="25">
        <v>46234</v>
      </c>
      <c r="B35" s="24">
        <v>19481.20894855</v>
      </c>
      <c r="C35" s="30">
        <f t="shared" si="0"/>
        <v>40.77506746658235</v>
      </c>
    </row>
    <row r="36" spans="1:3">
      <c r="A36" s="25">
        <v>46233</v>
      </c>
      <c r="B36">
        <v>466.33578662999997</v>
      </c>
      <c r="C36" s="30">
        <f t="shared" si="0"/>
        <v>3.5918026507549188</v>
      </c>
    </row>
    <row r="37" spans="1:3">
      <c r="A37" s="25">
        <v>46232</v>
      </c>
      <c r="B37" s="24">
        <v>101.55832515</v>
      </c>
      <c r="C37" s="30">
        <f t="shared" si="0"/>
        <v>22.269067927747528</v>
      </c>
    </row>
    <row r="38" spans="1:3">
      <c r="A38" s="25">
        <v>46231</v>
      </c>
      <c r="B38" s="24">
        <v>4.3645205499999999</v>
      </c>
      <c r="C38" s="30">
        <f t="shared" si="0"/>
        <v>-0.98047278251084946</v>
      </c>
    </row>
    <row r="39" spans="1:3">
      <c r="A39" s="25">
        <v>46108</v>
      </c>
      <c r="B39" s="24">
        <v>223.50959897000001</v>
      </c>
      <c r="C39" s="30">
        <f t="shared" si="0"/>
        <v>-0.99220607504587943</v>
      </c>
    </row>
    <row r="40" spans="1:3">
      <c r="A40" s="25">
        <v>46226</v>
      </c>
      <c r="B40" s="24">
        <v>28677.412251940001</v>
      </c>
      <c r="C40" s="30">
        <f t="shared" si="0"/>
        <v>32.413800410299046</v>
      </c>
    </row>
    <row r="41" spans="1:3">
      <c r="A41" s="25">
        <v>46225</v>
      </c>
      <c r="B41" s="24">
        <v>858.25054019000004</v>
      </c>
      <c r="C41" s="30">
        <f t="shared" si="0"/>
        <v>41.77708649767068</v>
      </c>
    </row>
    <row r="42" spans="1:3">
      <c r="A42" s="25">
        <v>46224</v>
      </c>
      <c r="B42" s="24">
        <v>20.063323860000001</v>
      </c>
      <c r="C42" s="30">
        <f t="shared" si="0"/>
        <v>-0.99734079323279778</v>
      </c>
    </row>
    <row r="43" spans="1:3">
      <c r="A43" s="25">
        <v>46220</v>
      </c>
      <c r="B43" s="24">
        <v>7544.8528890099997</v>
      </c>
      <c r="C43" s="30">
        <f t="shared" si="0"/>
        <v>-0.54491271467140989</v>
      </c>
    </row>
    <row r="44" spans="1:3">
      <c r="A44" s="25">
        <v>46219</v>
      </c>
      <c r="B44" s="24">
        <v>16578.913830919999</v>
      </c>
      <c r="C44" s="30">
        <f t="shared" si="0"/>
        <v>1.1008050673763534</v>
      </c>
    </row>
    <row r="45" spans="1:3">
      <c r="A45" s="25">
        <v>46218</v>
      </c>
      <c r="B45" s="24">
        <v>7891.6954687400003</v>
      </c>
      <c r="C45" s="30">
        <f t="shared" si="0"/>
        <v>-0.79678113606112111</v>
      </c>
    </row>
    <row r="46" spans="1:3">
      <c r="A46" s="25">
        <v>46217</v>
      </c>
      <c r="B46" s="24">
        <v>38833.478919130001</v>
      </c>
      <c r="C46" s="30">
        <f t="shared" si="0"/>
        <v>-0.25771272667553924</v>
      </c>
    </row>
    <row r="47" spans="1:3">
      <c r="A47" s="25">
        <v>46216</v>
      </c>
      <c r="B47" s="24">
        <v>52315.97026473</v>
      </c>
      <c r="C47" s="30">
        <f t="shared" si="0"/>
        <v>-0.19048561913228002</v>
      </c>
    </row>
    <row r="48" spans="1:3">
      <c r="A48" s="25">
        <v>46213</v>
      </c>
      <c r="B48" s="24">
        <v>64626.363040830001</v>
      </c>
      <c r="C48" s="30">
        <f t="shared" si="0"/>
        <v>1.2916911129109088</v>
      </c>
    </row>
    <row r="49" spans="1:3">
      <c r="A49" s="25">
        <v>46212</v>
      </c>
      <c r="B49" s="24">
        <v>28200.29395617</v>
      </c>
      <c r="C49" s="30">
        <f t="shared" si="0"/>
        <v>2.65997178100841</v>
      </c>
    </row>
    <row r="50" spans="1:3">
      <c r="A50" s="25">
        <v>46211</v>
      </c>
      <c r="B50" s="24">
        <v>7705.0577555</v>
      </c>
      <c r="C50" s="30">
        <f t="shared" si="0"/>
        <v>0.84099979813836301</v>
      </c>
    </row>
    <row r="51" spans="1:3">
      <c r="A51" s="25">
        <v>46210</v>
      </c>
      <c r="B51" s="24">
        <v>4185.2572516800001</v>
      </c>
      <c r="C51" s="30">
        <f t="shared" si="0"/>
        <v>-0.5358672604044985</v>
      </c>
    </row>
    <row r="52" spans="1:3">
      <c r="A52" s="25">
        <v>46209</v>
      </c>
      <c r="B52" s="24">
        <v>9017.3713134900008</v>
      </c>
      <c r="C52" s="30">
        <f t="shared" si="0"/>
        <v>-0.47344417767330416</v>
      </c>
    </row>
    <row r="53" spans="1:3">
      <c r="A53" s="25">
        <v>46206</v>
      </c>
      <c r="B53" s="24">
        <v>17125.195337590001</v>
      </c>
      <c r="C53" s="30">
        <f t="shared" si="0"/>
        <v>-0.39167454677290181</v>
      </c>
    </row>
    <row r="54" spans="1:3">
      <c r="A54" s="25">
        <v>46205</v>
      </c>
      <c r="B54" s="24">
        <v>28151.370695969999</v>
      </c>
      <c r="C54" s="30">
        <f t="shared" si="0"/>
        <v>27.450841046685248</v>
      </c>
    </row>
    <row r="55" spans="1:3">
      <c r="A55" s="25">
        <v>46204</v>
      </c>
      <c r="B55" s="24">
        <v>989.47411254999997</v>
      </c>
      <c r="C55" s="30">
        <f t="shared" si="0"/>
        <v>-0.82605795449481512</v>
      </c>
    </row>
    <row r="56" spans="1:3">
      <c r="A56" s="25">
        <v>46203</v>
      </c>
      <c r="B56" s="24">
        <v>5688.5275189000004</v>
      </c>
      <c r="C56" s="30">
        <f t="shared" si="0"/>
        <v>-0.82035890094428965</v>
      </c>
    </row>
    <row r="57" spans="1:3">
      <c r="A57" s="25">
        <v>46198</v>
      </c>
      <c r="B57" s="24">
        <v>31666.069450710002</v>
      </c>
      <c r="C57" s="30">
        <f t="shared" si="0"/>
        <v>12.096519032059602</v>
      </c>
    </row>
    <row r="58" spans="1:3">
      <c r="A58" s="25">
        <v>46196</v>
      </c>
      <c r="B58" s="24">
        <v>2417.8997009200002</v>
      </c>
      <c r="C58" s="30">
        <f t="shared" si="0"/>
        <v>0.40878477030033311</v>
      </c>
    </row>
    <row r="59" spans="1:3">
      <c r="A59" s="25">
        <v>46195</v>
      </c>
      <c r="B59" s="24">
        <v>1716.30170335</v>
      </c>
      <c r="C59" s="30">
        <f t="shared" si="0"/>
        <v>103.40487339188886</v>
      </c>
    </row>
    <row r="60" spans="1:3">
      <c r="A60" s="25">
        <v>46192</v>
      </c>
      <c r="B60" s="24">
        <v>16.43890412</v>
      </c>
      <c r="C60" s="30">
        <f t="shared" si="0"/>
        <v>-0.93907248343987781</v>
      </c>
    </row>
    <row r="61" spans="1:3">
      <c r="A61" s="25">
        <v>46191</v>
      </c>
      <c r="B61" s="24">
        <v>269.81083503999997</v>
      </c>
      <c r="C61" s="30">
        <f t="shared" si="0"/>
        <v>-0.88259974628484428</v>
      </c>
    </row>
    <row r="62" spans="1:3">
      <c r="A62" s="25">
        <v>46190</v>
      </c>
      <c r="B62" s="24">
        <v>2298.2133896800001</v>
      </c>
      <c r="C62" s="30">
        <f t="shared" si="0"/>
        <v>0.90523755264044037</v>
      </c>
    </row>
    <row r="63" spans="1:3">
      <c r="A63" s="25">
        <v>46189</v>
      </c>
      <c r="B63" s="24">
        <v>1206.260808</v>
      </c>
      <c r="C63" s="30">
        <f t="shared" si="0"/>
        <v>142.26137862232778</v>
      </c>
    </row>
    <row r="64" spans="1:3">
      <c r="A64" s="25">
        <v>46188</v>
      </c>
      <c r="B64" s="24">
        <v>8.42</v>
      </c>
      <c r="C64" s="30">
        <f t="shared" si="0"/>
        <v>-0.5604660313731078</v>
      </c>
    </row>
    <row r="65" spans="1:3">
      <c r="A65" s="25">
        <v>46185</v>
      </c>
      <c r="B65" s="24">
        <v>19.156653639999998</v>
      </c>
      <c r="C65" s="30">
        <f t="shared" si="0"/>
        <v>0.50703525245440206</v>
      </c>
    </row>
    <row r="66" spans="1:3">
      <c r="A66" s="25">
        <v>46184</v>
      </c>
      <c r="B66" s="24">
        <v>12.711483429999999</v>
      </c>
      <c r="C66" s="30">
        <f t="shared" si="0"/>
        <v>-0.99943660659465605</v>
      </c>
    </row>
    <row r="67" spans="1:3">
      <c r="A67" s="25">
        <v>46183</v>
      </c>
      <c r="B67" s="24">
        <v>22562.357509739999</v>
      </c>
      <c r="C67" s="30">
        <f t="shared" ref="C67:C108" si="1">+(B67-B68)/B68</f>
        <v>5.2639483520141219</v>
      </c>
    </row>
    <row r="68" spans="1:3">
      <c r="A68" s="25">
        <v>46182</v>
      </c>
      <c r="B68" s="24">
        <v>3601.9386242999999</v>
      </c>
      <c r="C68" s="30">
        <f t="shared" si="1"/>
        <v>-0.93820968147801931</v>
      </c>
    </row>
    <row r="69" spans="1:3">
      <c r="A69" s="25">
        <v>46178</v>
      </c>
      <c r="B69" s="24">
        <v>58292.928576159997</v>
      </c>
      <c r="C69" s="30">
        <f t="shared" si="1"/>
        <v>5.2345136037951523</v>
      </c>
    </row>
    <row r="70" spans="1:3">
      <c r="A70" s="25">
        <v>46177</v>
      </c>
      <c r="B70" s="24">
        <v>9350.0363108799993</v>
      </c>
      <c r="C70" s="30">
        <f t="shared" si="1"/>
        <v>1.8327551324816331</v>
      </c>
    </row>
    <row r="71" spans="1:3">
      <c r="A71" s="25">
        <v>46176</v>
      </c>
      <c r="B71" s="24">
        <v>3300.6863896099999</v>
      </c>
      <c r="C71" s="30">
        <f t="shared" si="1"/>
        <v>-0.88947445735006914</v>
      </c>
    </row>
    <row r="72" spans="1:3">
      <c r="A72" s="25">
        <v>46175</v>
      </c>
      <c r="B72" s="24">
        <v>29863.561946620001</v>
      </c>
      <c r="C72" s="30">
        <f t="shared" si="1"/>
        <v>539.15459406063144</v>
      </c>
    </row>
    <row r="73" spans="1:3">
      <c r="A73" s="25">
        <v>46174</v>
      </c>
      <c r="B73" s="24">
        <v>55.287064620000002</v>
      </c>
      <c r="C73" s="30">
        <f t="shared" si="1"/>
        <v>-0.99834811895033015</v>
      </c>
    </row>
    <row r="74" spans="1:3">
      <c r="A74" s="25">
        <v>46171</v>
      </c>
      <c r="B74" s="24">
        <v>33469.1560455</v>
      </c>
      <c r="C74" s="30">
        <f t="shared" si="1"/>
        <v>2.616728100871637</v>
      </c>
    </row>
    <row r="75" spans="1:3">
      <c r="A75" s="25">
        <v>45074</v>
      </c>
      <c r="B75" s="24">
        <v>9253.9873366299998</v>
      </c>
      <c r="C75" s="30">
        <f t="shared" si="1"/>
        <v>425.96466507526281</v>
      </c>
    </row>
    <row r="76" spans="1:3">
      <c r="A76" s="25">
        <v>46169</v>
      </c>
      <c r="B76" s="24">
        <v>21.673895040000001</v>
      </c>
      <c r="C76" s="30">
        <f t="shared" si="1"/>
        <v>-0.99745431244335425</v>
      </c>
    </row>
    <row r="77" spans="1:3">
      <c r="A77" s="25">
        <v>46168</v>
      </c>
      <c r="B77" s="24">
        <v>8513.9651106900001</v>
      </c>
      <c r="C77" s="30">
        <f t="shared" si="1"/>
        <v>-0.31892665326814518</v>
      </c>
    </row>
    <row r="78" spans="1:3">
      <c r="A78" s="25">
        <v>46167</v>
      </c>
      <c r="B78" s="24">
        <v>12500.80501835</v>
      </c>
      <c r="C78" s="30">
        <f t="shared" si="1"/>
        <v>-0.78753584478722383</v>
      </c>
    </row>
    <row r="79" spans="1:3">
      <c r="A79" s="25">
        <v>46164</v>
      </c>
      <c r="B79" s="24">
        <v>58837.242479</v>
      </c>
      <c r="C79" s="30">
        <f t="shared" si="1"/>
        <v>1063.8095709311931</v>
      </c>
    </row>
    <row r="80" spans="1:3">
      <c r="A80" s="25">
        <v>46163</v>
      </c>
      <c r="B80" s="24">
        <v>55.256117230000001</v>
      </c>
      <c r="C80" s="30">
        <f t="shared" si="1"/>
        <v>-0.99728557445032884</v>
      </c>
    </row>
    <row r="81" spans="1:3">
      <c r="A81" s="25">
        <v>46162</v>
      </c>
      <c r="B81" s="24">
        <v>20356.468143580001</v>
      </c>
      <c r="C81" s="30">
        <f t="shared" si="1"/>
        <v>-0.71845195425328001</v>
      </c>
    </row>
    <row r="82" spans="1:3">
      <c r="A82" s="25">
        <v>46161</v>
      </c>
      <c r="B82" s="24">
        <v>72301.933723569993</v>
      </c>
      <c r="C82" s="30">
        <f t="shared" si="1"/>
        <v>-2.5709262214296945E-2</v>
      </c>
    </row>
    <row r="83" spans="1:3">
      <c r="A83" s="25">
        <v>46157</v>
      </c>
      <c r="B83" s="24">
        <v>74209.813271849998</v>
      </c>
      <c r="C83" s="30">
        <f t="shared" si="1"/>
        <v>35.243819791014161</v>
      </c>
    </row>
    <row r="84" spans="1:3">
      <c r="A84" s="25">
        <v>46156</v>
      </c>
      <c r="B84" s="24">
        <v>2047.5163407099999</v>
      </c>
      <c r="C84" s="30">
        <f t="shared" si="1"/>
        <v>82.182099964255912</v>
      </c>
    </row>
    <row r="85" spans="1:3">
      <c r="A85" s="25">
        <v>46155</v>
      </c>
      <c r="B85" s="24">
        <v>24.614867159999999</v>
      </c>
      <c r="C85" s="30">
        <f t="shared" si="1"/>
        <v>-0.96342609797465562</v>
      </c>
    </row>
    <row r="86" spans="1:3">
      <c r="A86" s="25">
        <v>46154</v>
      </c>
      <c r="B86" s="24">
        <v>673.01725538999995</v>
      </c>
      <c r="C86" s="30">
        <f t="shared" si="1"/>
        <v>-0.95811572537747924</v>
      </c>
    </row>
    <row r="87" spans="1:3">
      <c r="A87" s="25">
        <v>46153</v>
      </c>
      <c r="B87" s="24">
        <v>16068.49495319</v>
      </c>
      <c r="C87" s="30">
        <f t="shared" si="1"/>
        <v>-0.32064889280191988</v>
      </c>
    </row>
    <row r="88" spans="1:3">
      <c r="A88" s="25">
        <v>46150</v>
      </c>
      <c r="B88" s="24">
        <v>23652.710333340001</v>
      </c>
      <c r="C88" s="30">
        <f t="shared" si="1"/>
        <v>178.18998455533497</v>
      </c>
    </row>
    <row r="89" spans="1:3">
      <c r="A89" s="23">
        <v>46149</v>
      </c>
      <c r="B89" s="22">
        <v>131.99794839</v>
      </c>
      <c r="C89" s="30">
        <f t="shared" si="1"/>
        <v>-0.82294618034282907</v>
      </c>
    </row>
    <row r="90" spans="1:3">
      <c r="A90" s="18">
        <v>46148</v>
      </c>
      <c r="B90" s="16">
        <v>745.52443231999996</v>
      </c>
      <c r="C90" s="30">
        <f t="shared" si="1"/>
        <v>-0.99115816107458954</v>
      </c>
    </row>
    <row r="91" spans="1:3">
      <c r="A91" s="18">
        <v>46147</v>
      </c>
      <c r="B91" s="16">
        <v>84317.802960360001</v>
      </c>
      <c r="C91" s="30">
        <f t="shared" si="1"/>
        <v>0.70107388483787059</v>
      </c>
    </row>
    <row r="92" spans="1:3">
      <c r="A92" s="18">
        <v>46146</v>
      </c>
      <c r="B92" s="16">
        <v>49567.396050169998</v>
      </c>
      <c r="C92" s="30">
        <f t="shared" si="1"/>
        <v>-0.43255825515735763</v>
      </c>
    </row>
    <row r="93" spans="1:3">
      <c r="A93" s="19">
        <v>46142</v>
      </c>
      <c r="B93" s="16">
        <v>87352.396084139997</v>
      </c>
      <c r="C93" s="30">
        <f t="shared" si="1"/>
        <v>2.0773664296544805</v>
      </c>
    </row>
    <row r="94" spans="1:3">
      <c r="A94" s="19">
        <v>46141</v>
      </c>
      <c r="B94" s="16">
        <v>28385.438679769999</v>
      </c>
      <c r="C94" s="30">
        <f t="shared" si="1"/>
        <v>-0.59636256133262866</v>
      </c>
    </row>
    <row r="95" spans="1:3">
      <c r="A95" s="19">
        <v>46140</v>
      </c>
      <c r="B95" s="16">
        <v>70324.097718699995</v>
      </c>
      <c r="C95" s="30">
        <f t="shared" si="1"/>
        <v>0.74333012643706198</v>
      </c>
    </row>
    <row r="96" spans="1:3">
      <c r="A96" s="19">
        <v>46139</v>
      </c>
      <c r="B96" s="16">
        <v>40338.944788629997</v>
      </c>
      <c r="C96" s="30">
        <f t="shared" si="1"/>
        <v>-0.33842006324553126</v>
      </c>
    </row>
    <row r="97" spans="1:4">
      <c r="A97" s="19">
        <v>46136</v>
      </c>
      <c r="B97" s="16">
        <v>60973.651931649998</v>
      </c>
      <c r="C97" s="30">
        <f t="shared" si="1"/>
        <v>12.106463903543759</v>
      </c>
    </row>
    <row r="98" spans="1:4">
      <c r="A98" s="19">
        <v>46135</v>
      </c>
      <c r="B98" s="16">
        <v>4652.1817311200002</v>
      </c>
      <c r="C98" s="30">
        <f t="shared" si="1"/>
        <v>-0.73032401489373799</v>
      </c>
    </row>
    <row r="99" spans="1:4">
      <c r="A99" s="19">
        <v>46134</v>
      </c>
      <c r="B99" s="16">
        <v>17251.00486529</v>
      </c>
      <c r="C99" s="30">
        <f t="shared" si="1"/>
        <v>-0.64046760511667533</v>
      </c>
    </row>
    <row r="100" spans="1:4">
      <c r="A100" s="19">
        <v>46133</v>
      </c>
      <c r="B100" s="16">
        <v>47981.781644150004</v>
      </c>
      <c r="C100" s="30">
        <f t="shared" si="1"/>
        <v>-6.5402088492716129E-2</v>
      </c>
    </row>
    <row r="101" spans="1:4">
      <c r="A101" s="19">
        <v>46132</v>
      </c>
      <c r="B101" s="16">
        <v>51339.49161813</v>
      </c>
      <c r="C101" s="30">
        <f t="shared" si="1"/>
        <v>1.9819948129202027</v>
      </c>
    </row>
    <row r="102" spans="1:4">
      <c r="A102" s="19">
        <v>46129</v>
      </c>
      <c r="B102" s="16">
        <v>17216.492596060001</v>
      </c>
      <c r="C102" s="30">
        <f t="shared" si="1"/>
        <v>910.40237411852581</v>
      </c>
    </row>
    <row r="103" spans="1:4">
      <c r="A103" s="19">
        <v>46128</v>
      </c>
      <c r="B103" s="16">
        <v>18.890111640000001</v>
      </c>
      <c r="C103" s="30">
        <f t="shared" si="1"/>
        <v>0.19572063797541306</v>
      </c>
      <c r="D103" s="37"/>
    </row>
    <row r="104" spans="1:4">
      <c r="A104" s="19">
        <v>46127</v>
      </c>
      <c r="B104" s="39">
        <v>15.79809785</v>
      </c>
      <c r="C104" s="30">
        <f t="shared" si="1"/>
        <v>-2.5764893835585476E-2</v>
      </c>
    </row>
    <row r="105" spans="1:4">
      <c r="A105" s="19">
        <v>46126</v>
      </c>
      <c r="B105" s="39">
        <v>16.215898760000002</v>
      </c>
      <c r="C105" s="30">
        <f t="shared" si="1"/>
        <v>-0.99344926580920656</v>
      </c>
    </row>
    <row r="106" spans="1:4">
      <c r="A106" s="19">
        <v>46125</v>
      </c>
      <c r="B106" s="16">
        <v>2475.4322626600001</v>
      </c>
      <c r="C106" s="30">
        <f t="shared" si="1"/>
        <v>-0.68887087467151309</v>
      </c>
    </row>
    <row r="107" spans="1:4">
      <c r="A107" s="19">
        <v>46122</v>
      </c>
      <c r="B107" s="16">
        <v>7956.2858669899997</v>
      </c>
      <c r="C107" s="30">
        <f t="shared" si="1"/>
        <v>190.54886991293833</v>
      </c>
    </row>
    <row r="108" spans="1:4">
      <c r="A108" s="19">
        <v>46121</v>
      </c>
      <c r="B108" s="16">
        <v>41.536584740000002</v>
      </c>
      <c r="C108" s="30">
        <f t="shared" si="1"/>
        <v>-0.92845434694034024</v>
      </c>
      <c r="D108" s="36"/>
    </row>
    <row r="109" spans="1:4">
      <c r="A109" s="19">
        <v>46120</v>
      </c>
      <c r="B109" s="16">
        <v>580.56056466999996</v>
      </c>
      <c r="C109" s="30">
        <f>+(B109-B110)/B110</f>
        <v>3.9632497533121036</v>
      </c>
    </row>
    <row r="110" spans="1:4">
      <c r="A110" s="19">
        <v>46119</v>
      </c>
      <c r="B110" s="16">
        <v>116.97186189</v>
      </c>
      <c r="D110" s="36"/>
    </row>
    <row r="111" spans="1:4">
      <c r="A111" s="19">
        <v>46118</v>
      </c>
      <c r="B111" s="16">
        <v>6972.36861443</v>
      </c>
    </row>
    <row r="112" spans="1:4">
      <c r="A112" s="19">
        <v>46113</v>
      </c>
      <c r="B112" s="16">
        <v>540.00852741999995</v>
      </c>
    </row>
    <row r="113" spans="1:2">
      <c r="A113" s="19">
        <v>46112</v>
      </c>
      <c r="B113" s="16">
        <v>5262.3389565099997</v>
      </c>
    </row>
    <row r="114" spans="1:2">
      <c r="A114" s="19">
        <v>46111</v>
      </c>
      <c r="B114" s="1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7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7">
        <v>251306.31</v>
      </c>
      <c r="C3" s="17">
        <v>13226.65</v>
      </c>
      <c r="D3">
        <v>188.96</v>
      </c>
      <c r="G3" s="33" t="s">
        <v>33</v>
      </c>
    </row>
    <row r="4" spans="1:7" ht="15">
      <c r="A4" t="s">
        <v>32</v>
      </c>
      <c r="B4" s="17">
        <v>254788.61</v>
      </c>
      <c r="C4" s="17">
        <v>13409.93</v>
      </c>
      <c r="D4" s="7">
        <v>245.29</v>
      </c>
      <c r="G4" s="33" t="s">
        <v>34</v>
      </c>
    </row>
    <row r="5" spans="1:7" ht="15">
      <c r="A5" s="24" t="s">
        <v>36</v>
      </c>
      <c r="B5" s="17">
        <v>40192.65</v>
      </c>
      <c r="C5" s="17">
        <v>1826.94</v>
      </c>
      <c r="D5" s="7">
        <v>81.88</v>
      </c>
      <c r="G5" s="33" t="s">
        <v>35</v>
      </c>
    </row>
    <row r="6" spans="1:7">
      <c r="A6" t="s">
        <v>37</v>
      </c>
      <c r="B6" s="17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opLeftCell="A10" workbookViewId="0">
      <selection activeCell="A25" sqref="A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5">
        <v>46136</v>
      </c>
      <c r="B16" s="17">
        <v>1206629034.17156</v>
      </c>
      <c r="C16" s="4">
        <f>+((B16-B15)/B15)*100</f>
        <v>12.607640378286277</v>
      </c>
    </row>
    <row r="17" spans="1:5" ht="15" thickBot="1">
      <c r="A17" s="25">
        <v>46164</v>
      </c>
      <c r="B17" s="17">
        <v>1440966613.4014599</v>
      </c>
      <c r="C17" s="4">
        <f>+((B17-B16)/B16)*100</f>
        <v>19.42084705352627</v>
      </c>
    </row>
    <row r="18" spans="1:5" ht="15" thickBot="1">
      <c r="A18" s="25">
        <v>46171</v>
      </c>
      <c r="B18" s="17">
        <v>1452167458.20135</v>
      </c>
      <c r="C18" s="4">
        <f t="shared" ref="C18:C25" si="0">+((B18-B17)/B17)*100</f>
        <v>0.77731466473397282</v>
      </c>
    </row>
    <row r="19" spans="1:5" ht="15" thickBot="1">
      <c r="A19" s="25">
        <v>46178</v>
      </c>
      <c r="B19" s="17">
        <v>1583302878.3216901</v>
      </c>
      <c r="C19" s="4">
        <f t="shared" si="0"/>
        <v>9.0303235608077888</v>
      </c>
    </row>
    <row r="20" spans="1:5" ht="15" thickBot="1">
      <c r="A20" s="25">
        <v>46185</v>
      </c>
      <c r="B20" s="17">
        <v>1491369041.2082701</v>
      </c>
      <c r="C20" s="4">
        <f t="shared" si="0"/>
        <v>-5.8064592929225514</v>
      </c>
    </row>
    <row r="21" spans="1:5" ht="15" thickBot="1">
      <c r="A21" s="25">
        <v>46192</v>
      </c>
      <c r="B21" s="17">
        <v>1486232648.3692801</v>
      </c>
      <c r="C21" s="4">
        <f t="shared" si="0"/>
        <v>-0.34440790287751955</v>
      </c>
    </row>
    <row r="22" spans="1:5" ht="15" thickBot="1">
      <c r="A22" s="25">
        <v>46199</v>
      </c>
      <c r="B22" s="17">
        <v>1396607027.6049099</v>
      </c>
      <c r="C22" s="4">
        <f t="shared" si="0"/>
        <v>-6.0303897147400827</v>
      </c>
    </row>
    <row r="23" spans="1:5" ht="15" thickBot="1">
      <c r="A23" s="25">
        <v>46227</v>
      </c>
      <c r="B23" s="17">
        <v>1468051657.5950301</v>
      </c>
      <c r="C23" s="4">
        <f t="shared" si="0"/>
        <v>5.1155857430162772</v>
      </c>
    </row>
    <row r="24" spans="1:5" ht="15" thickBot="1">
      <c r="A24" s="25">
        <v>46255</v>
      </c>
      <c r="B24" s="17">
        <v>1588746455.7100201</v>
      </c>
      <c r="C24" s="4">
        <f t="shared" si="0"/>
        <v>8.2214271882443732</v>
      </c>
    </row>
    <row r="25" spans="1:5" ht="15" thickBot="1">
      <c r="A25" s="25">
        <v>46262</v>
      </c>
      <c r="B25" s="17">
        <v>1616236987.2485399</v>
      </c>
      <c r="C25" s="4">
        <f t="shared" si="0"/>
        <v>1.730328425893116</v>
      </c>
      <c r="E25" s="38"/>
    </row>
    <row r="26" spans="1:5">
      <c r="E26" s="3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topLeftCell="A7" workbookViewId="0">
      <selection activeCell="A25" sqref="A25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5">
        <v>46143</v>
      </c>
      <c r="B7" s="17">
        <v>56289349.634710021</v>
      </c>
      <c r="C7" s="17">
        <v>1572208957.4513197</v>
      </c>
      <c r="D7" s="17">
        <v>131632832.49728999</v>
      </c>
      <c r="E7" s="17">
        <v>1760131139.5833197</v>
      </c>
      <c r="F7" s="17">
        <v>1480052.1803799996</v>
      </c>
      <c r="G7" s="17">
        <v>1761611191.7636998</v>
      </c>
      <c r="H7" s="27">
        <v>9.2253839605925378</v>
      </c>
    </row>
    <row r="8" spans="1:8">
      <c r="A8" s="25">
        <v>46150</v>
      </c>
      <c r="B8" s="17">
        <v>56976115.061530016</v>
      </c>
      <c r="C8" s="17">
        <v>1583444536.3055906</v>
      </c>
      <c r="D8" s="17">
        <v>120943453.33754002</v>
      </c>
      <c r="E8" s="17">
        <v>1761364104.7046607</v>
      </c>
      <c r="F8" s="17">
        <v>1443633.0552200002</v>
      </c>
      <c r="G8" s="17">
        <v>1762807737.7598805</v>
      </c>
      <c r="H8" s="27">
        <v>6.7923387508850297E-2</v>
      </c>
    </row>
    <row r="9" spans="1:8">
      <c r="A9" s="25">
        <v>46157</v>
      </c>
      <c r="B9" s="17">
        <v>57191389.678870022</v>
      </c>
      <c r="C9" s="17">
        <v>1736713788.0136802</v>
      </c>
      <c r="D9" s="17">
        <v>154232219.13352999</v>
      </c>
      <c r="E9" s="17">
        <v>1948137396.8260801</v>
      </c>
      <c r="F9" s="17">
        <v>1517284.0840200002</v>
      </c>
      <c r="G9" s="17">
        <v>1949654680.9101</v>
      </c>
      <c r="H9" s="27">
        <v>10.599394315551303</v>
      </c>
    </row>
    <row r="10" spans="1:8">
      <c r="A10" s="25">
        <v>46164</v>
      </c>
      <c r="B10" s="17">
        <v>59297253.722750016</v>
      </c>
      <c r="C10" s="17">
        <v>1756395281.4472902</v>
      </c>
      <c r="D10" s="17">
        <v>146574089.18363994</v>
      </c>
      <c r="E10" s="17">
        <v>1962266624.3536801</v>
      </c>
      <c r="F10" s="17">
        <v>1598030.6558000003</v>
      </c>
      <c r="G10" s="17">
        <v>1963864655.0094802</v>
      </c>
      <c r="H10" s="27">
        <v>0.72884568936828487</v>
      </c>
    </row>
    <row r="11" spans="1:8">
      <c r="A11" s="25">
        <v>46202</v>
      </c>
      <c r="B11" s="17">
        <v>61835356.210640013</v>
      </c>
      <c r="C11" s="17">
        <v>1886607672.3299406</v>
      </c>
      <c r="D11" s="17">
        <v>163572012.59929004</v>
      </c>
      <c r="E11" s="17">
        <v>2112015041.1398706</v>
      </c>
      <c r="F11" s="17">
        <v>1706770.0237499999</v>
      </c>
      <c r="G11" s="17">
        <v>2113721811.1636207</v>
      </c>
      <c r="H11" s="27">
        <v>7.6307272892701832</v>
      </c>
    </row>
    <row r="12" spans="1:8">
      <c r="A12" s="25">
        <v>46178</v>
      </c>
      <c r="B12" s="17">
        <v>63931654.937720016</v>
      </c>
      <c r="C12" s="17">
        <v>1957457867.6445699</v>
      </c>
      <c r="D12" s="17">
        <v>149657684.68581003</v>
      </c>
      <c r="E12" s="17">
        <v>2171047207.2680998</v>
      </c>
      <c r="F12" s="17">
        <v>1753411.3252600001</v>
      </c>
      <c r="G12" s="17">
        <v>2172800618.5933599</v>
      </c>
      <c r="H12" s="27">
        <v>2.7950133796091023</v>
      </c>
    </row>
    <row r="13" spans="1:8">
      <c r="A13" s="25">
        <v>46185</v>
      </c>
      <c r="B13" s="17">
        <v>63611606.013210006</v>
      </c>
      <c r="C13" s="17">
        <v>1879421568.1788502</v>
      </c>
      <c r="D13" s="17">
        <v>133033132.39342</v>
      </c>
      <c r="E13" s="17">
        <v>2076066306.5854802</v>
      </c>
      <c r="F13" s="17">
        <v>1714526.8965600003</v>
      </c>
      <c r="G13" s="17">
        <v>2077780833.4820399</v>
      </c>
      <c r="H13" s="27">
        <v>-4.3731479224649092</v>
      </c>
    </row>
    <row r="14" spans="1:8">
      <c r="A14" s="25">
        <v>46192</v>
      </c>
      <c r="B14" s="17">
        <v>65860434.967950001</v>
      </c>
      <c r="C14" s="17">
        <v>1914988346.0565095</v>
      </c>
      <c r="D14" s="17">
        <v>162309932.49878004</v>
      </c>
      <c r="E14" s="17">
        <v>2143158713.5232396</v>
      </c>
      <c r="F14" s="17">
        <v>1705432.2701800002</v>
      </c>
      <c r="G14" s="17">
        <v>2144864145.7934194</v>
      </c>
      <c r="H14" s="27">
        <v>3.2286038657387337</v>
      </c>
    </row>
    <row r="15" spans="1:8">
      <c r="A15" s="25">
        <v>46199</v>
      </c>
      <c r="B15" s="17">
        <v>66643069.210480012</v>
      </c>
      <c r="C15" s="17">
        <v>1865343448.3990905</v>
      </c>
      <c r="D15" s="17">
        <v>172370820.8464765</v>
      </c>
      <c r="E15" s="17">
        <v>2104357338.4560471</v>
      </c>
      <c r="F15" s="17">
        <v>1885890.7660000003</v>
      </c>
      <c r="G15" s="17">
        <v>2106243229.2220471</v>
      </c>
      <c r="H15" s="27">
        <v>-1.8006229740525441</v>
      </c>
    </row>
    <row r="16" spans="1:8">
      <c r="A16" s="25">
        <v>46206</v>
      </c>
      <c r="B16" s="17">
        <v>68376322.198670015</v>
      </c>
      <c r="C16" s="17">
        <v>1874824600.7037601</v>
      </c>
      <c r="D16" s="17">
        <v>187900609.12325659</v>
      </c>
      <c r="E16" s="17">
        <v>2131101532.0256867</v>
      </c>
      <c r="F16" s="17">
        <v>2089309.7912699997</v>
      </c>
      <c r="G16" s="17">
        <v>2133190841.8169568</v>
      </c>
      <c r="H16" s="27">
        <v>1.2794159867691519</v>
      </c>
    </row>
    <row r="17" spans="1:8">
      <c r="A17" s="25">
        <v>46213</v>
      </c>
      <c r="B17" s="17">
        <v>68487199.928740025</v>
      </c>
      <c r="C17" s="17">
        <v>1899748731.1160312</v>
      </c>
      <c r="D17" s="17">
        <v>162301220.45412648</v>
      </c>
      <c r="E17" s="17">
        <v>2130537151.4988976</v>
      </c>
      <c r="F17" s="17">
        <v>2464039.5699600005</v>
      </c>
      <c r="G17" s="17">
        <v>2133001191.0688577</v>
      </c>
      <c r="H17" s="27">
        <v>-8.8904726375744758E-3</v>
      </c>
    </row>
    <row r="18" spans="1:8">
      <c r="A18" s="25">
        <v>46220</v>
      </c>
      <c r="B18" s="17">
        <v>69757899.158520013</v>
      </c>
      <c r="C18" s="17">
        <v>2038826282.5316811</v>
      </c>
      <c r="D18" s="17">
        <v>217968687.7986365</v>
      </c>
      <c r="E18" s="17">
        <v>2326552869.4888377</v>
      </c>
      <c r="F18" s="17">
        <v>2029339.0808599996</v>
      </c>
      <c r="G18" s="17">
        <v>2328582208.5696979</v>
      </c>
      <c r="H18" s="27">
        <v>9.1692877772296697</v>
      </c>
    </row>
    <row r="19" spans="1:8">
      <c r="A19" s="25">
        <v>46227</v>
      </c>
      <c r="B19" s="17">
        <v>71935096.137300014</v>
      </c>
      <c r="C19" s="17">
        <v>2094704967.8231509</v>
      </c>
      <c r="D19" s="17">
        <v>222110560.74773642</v>
      </c>
      <c r="E19" s="17">
        <v>2388750624.7081876</v>
      </c>
      <c r="F19" s="17">
        <v>2133572.8824000005</v>
      </c>
      <c r="G19" s="17">
        <v>2390884197.5905876</v>
      </c>
      <c r="H19" s="27">
        <v>2.6755331545351737</v>
      </c>
    </row>
    <row r="20" spans="1:8">
      <c r="A20" s="25">
        <v>46234</v>
      </c>
      <c r="B20" s="17">
        <v>73562982.041420013</v>
      </c>
      <c r="C20" s="17">
        <v>2158280622.777401</v>
      </c>
      <c r="D20" s="17">
        <v>232842453.77054653</v>
      </c>
      <c r="E20" s="17">
        <v>2464686058.5893674</v>
      </c>
      <c r="F20" s="17">
        <v>2259648.3903599996</v>
      </c>
      <c r="G20" s="17">
        <v>2466945706.9797273</v>
      </c>
      <c r="H20" s="27">
        <v>3.1813129831127327</v>
      </c>
    </row>
    <row r="21" spans="1:8">
      <c r="A21" s="25">
        <v>46241</v>
      </c>
      <c r="B21" s="17">
        <v>74588465.34969002</v>
      </c>
      <c r="C21" s="17">
        <v>2167193538.7617316</v>
      </c>
      <c r="D21" s="17">
        <v>198439181.48875651</v>
      </c>
      <c r="E21" s="17">
        <v>2440221185.6001782</v>
      </c>
      <c r="F21" s="17">
        <v>2971243.6223900001</v>
      </c>
      <c r="G21" s="17">
        <v>2443192429.222568</v>
      </c>
      <c r="H21" s="27">
        <v>-0.96286179667246508</v>
      </c>
    </row>
    <row r="22" spans="1:8">
      <c r="A22" s="25">
        <v>46248</v>
      </c>
      <c r="B22" s="17">
        <v>74239926.334400013</v>
      </c>
      <c r="C22" s="17">
        <v>2163040890.6203313</v>
      </c>
      <c r="D22" s="17">
        <v>208734334.00143653</v>
      </c>
      <c r="E22" s="17">
        <v>2446015150.9561682</v>
      </c>
      <c r="F22" s="17">
        <v>2159689.0630499991</v>
      </c>
      <c r="G22" s="17">
        <v>2448174840.0192175</v>
      </c>
      <c r="H22" s="27">
        <v>0.2039303469123297</v>
      </c>
    </row>
    <row r="23" spans="1:8">
      <c r="A23" s="25">
        <v>46255</v>
      </c>
      <c r="B23" s="17">
        <v>76026162.824400008</v>
      </c>
      <c r="C23" s="17">
        <v>2297157294.4069014</v>
      </c>
      <c r="D23" s="17">
        <v>212317214.11852658</v>
      </c>
      <c r="E23" s="17">
        <v>2585500671.3498278</v>
      </c>
      <c r="F23" s="17">
        <v>2182911.8923299997</v>
      </c>
      <c r="G23" s="17">
        <v>2587683583.2421579</v>
      </c>
      <c r="H23" s="27">
        <v>5.6984795751697845</v>
      </c>
    </row>
    <row r="24" spans="1:8">
      <c r="A24" s="25">
        <v>46262</v>
      </c>
      <c r="B24" s="17">
        <v>78436320.980450019</v>
      </c>
      <c r="C24" s="17">
        <v>2368853653.2673907</v>
      </c>
      <c r="D24" s="17">
        <v>221939034.59143993</v>
      </c>
      <c r="E24" s="17">
        <v>2669229008.8392806</v>
      </c>
      <c r="F24" s="17">
        <v>2363869.91811</v>
      </c>
      <c r="G24" s="17">
        <v>2671592878.7573905</v>
      </c>
      <c r="H24" s="27">
        <v>3.2456431709609603</v>
      </c>
    </row>
    <row r="25" spans="1:8">
      <c r="A25" s="25">
        <v>46269</v>
      </c>
      <c r="B25" s="17">
        <v>79934788.226620004</v>
      </c>
      <c r="C25" s="17">
        <v>2449226669.3992906</v>
      </c>
      <c r="D25" s="17">
        <v>220761212.62711993</v>
      </c>
      <c r="E25" s="17">
        <v>2749922670.2530308</v>
      </c>
      <c r="F25" s="17">
        <v>2498658.4271799996</v>
      </c>
      <c r="G25" s="17">
        <v>2752421328.6802111</v>
      </c>
      <c r="H25" s="27">
        <v>3.0254778175788317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3"/>
  <sheetViews>
    <sheetView topLeftCell="A82" workbookViewId="0">
      <selection activeCell="A102" sqref="A10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1" t="e">
        <f t="shared" ref="E2:E17" si="0">+((D2-D1)/D1)</f>
        <v>#VALUE!</v>
      </c>
      <c r="F2" s="32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1">
        <f t="shared" si="0"/>
        <v>4.8691139433717466E-2</v>
      </c>
      <c r="F3" s="32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1">
        <f t="shared" si="0"/>
        <v>-1.1061785896222982E-2</v>
      </c>
      <c r="F4" s="32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1">
        <f t="shared" si="0"/>
        <v>6.2550592390904405E-3</v>
      </c>
      <c r="F5" s="32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1">
        <f t="shared" si="0"/>
        <v>-1.3894983179757204E-2</v>
      </c>
      <c r="F6" s="32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1">
        <f t="shared" si="0"/>
        <v>-1.7798872738059924E-3</v>
      </c>
      <c r="F7" s="32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1">
        <f t="shared" si="0"/>
        <v>-1.5378900445765229E-2</v>
      </c>
      <c r="F8" s="32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1">
        <f t="shared" si="0"/>
        <v>-4.9800045272768434E-3</v>
      </c>
      <c r="F9" s="32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1">
        <f t="shared" si="0"/>
        <v>7.0524000909987106E-3</v>
      </c>
      <c r="F10" s="32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1">
        <f t="shared" si="0"/>
        <v>5.8810240963855419E-2</v>
      </c>
      <c r="F11" s="32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1">
        <f t="shared" si="0"/>
        <v>-1.3441433752933647E-2</v>
      </c>
      <c r="F12" s="32">
        <v>-0.01</v>
      </c>
    </row>
    <row r="13" spans="1:7">
      <c r="A13" s="25">
        <v>46148</v>
      </c>
      <c r="B13" s="26">
        <v>13411</v>
      </c>
      <c r="C13" s="24">
        <v>3</v>
      </c>
      <c r="D13" s="26">
        <v>13414</v>
      </c>
      <c r="E13" s="31">
        <f t="shared" si="0"/>
        <v>-3.3016147635524795E-2</v>
      </c>
      <c r="F13" s="32">
        <v>-0.123456</v>
      </c>
    </row>
    <row r="14" spans="1:7">
      <c r="A14" s="25">
        <v>46149</v>
      </c>
      <c r="B14" s="26">
        <v>13460</v>
      </c>
      <c r="C14" s="24">
        <v>3</v>
      </c>
      <c r="D14" s="26">
        <v>13463</v>
      </c>
      <c r="E14" s="31">
        <f t="shared" si="0"/>
        <v>3.6528999552706129E-3</v>
      </c>
      <c r="F14" s="32">
        <v>0.37123455999999999</v>
      </c>
    </row>
    <row r="15" spans="1:7">
      <c r="A15" s="25">
        <v>46150</v>
      </c>
      <c r="B15" s="26">
        <v>13398</v>
      </c>
      <c r="C15" s="24">
        <v>3</v>
      </c>
      <c r="D15" s="26">
        <v>13401</v>
      </c>
      <c r="E15" s="31">
        <f t="shared" si="0"/>
        <v>-4.6052142910198322E-3</v>
      </c>
      <c r="F15" s="32">
        <v>-0.46123456000000002</v>
      </c>
    </row>
    <row r="16" spans="1:7">
      <c r="A16" s="25">
        <v>46153</v>
      </c>
      <c r="B16" s="26">
        <v>13309</v>
      </c>
      <c r="C16">
        <v>3</v>
      </c>
      <c r="D16" s="26">
        <v>13312</v>
      </c>
      <c r="E16" s="31">
        <f t="shared" si="0"/>
        <v>-6.6412954257144986E-3</v>
      </c>
      <c r="F16" s="32">
        <v>-0.66123456000000003</v>
      </c>
    </row>
    <row r="17" spans="1:6">
      <c r="A17" s="25">
        <v>46154</v>
      </c>
      <c r="B17" s="26">
        <v>13300</v>
      </c>
      <c r="C17" s="24">
        <v>3</v>
      </c>
      <c r="D17" s="26">
        <v>13303</v>
      </c>
      <c r="E17" s="31">
        <f t="shared" si="0"/>
        <v>-6.7608173076923075E-4</v>
      </c>
      <c r="F17" s="32">
        <v>-7.1234560000000002E-2</v>
      </c>
    </row>
    <row r="18" spans="1:6">
      <c r="A18" s="25">
        <v>46155</v>
      </c>
      <c r="B18" s="26">
        <v>13277</v>
      </c>
      <c r="C18" s="24">
        <v>3</v>
      </c>
      <c r="D18" s="26">
        <v>13280</v>
      </c>
      <c r="E18" s="31">
        <f>+((D18-D17)/D17)</f>
        <v>-1.7289333233105315E-3</v>
      </c>
      <c r="F18" s="32">
        <v>-0.17123456000000001</v>
      </c>
    </row>
    <row r="19" spans="1:6">
      <c r="A19" s="25">
        <v>46156</v>
      </c>
      <c r="B19" s="26">
        <v>13282</v>
      </c>
      <c r="C19" s="24">
        <v>3</v>
      </c>
      <c r="D19" s="26">
        <f t="shared" ref="D19" si="1">SUM(B19+C19)</f>
        <v>13285</v>
      </c>
      <c r="E19" s="31">
        <f>+((D19-D18)/D18)</f>
        <v>3.7650602409638556E-4</v>
      </c>
      <c r="F19" s="32">
        <v>4.1234560000000003E-2</v>
      </c>
    </row>
    <row r="20" spans="1:6">
      <c r="A20" s="25">
        <v>46157</v>
      </c>
      <c r="B20" s="26">
        <v>13015</v>
      </c>
      <c r="C20" s="24">
        <v>3</v>
      </c>
      <c r="D20" s="26">
        <v>13018</v>
      </c>
      <c r="E20" s="31">
        <f>+((D20-D19)/D19)</f>
        <v>-2.0097854723372225E-2</v>
      </c>
      <c r="F20" s="32">
        <v>-2.0112345600000001</v>
      </c>
    </row>
    <row r="21" spans="1:6">
      <c r="A21" s="25">
        <v>46161</v>
      </c>
      <c r="B21" s="26">
        <v>12992</v>
      </c>
      <c r="C21" s="24">
        <v>3</v>
      </c>
      <c r="D21" s="26">
        <v>12995</v>
      </c>
      <c r="E21" s="31">
        <f>+((D21-D20)/D20)</f>
        <v>-1.7667844522968198E-3</v>
      </c>
      <c r="F21" s="32">
        <v>-0.18123455999999999</v>
      </c>
    </row>
    <row r="22" spans="1:6">
      <c r="A22" s="25">
        <v>46162</v>
      </c>
      <c r="B22" s="26">
        <v>12888</v>
      </c>
      <c r="C22" s="24">
        <v>3</v>
      </c>
      <c r="D22" s="26">
        <v>12891</v>
      </c>
      <c r="E22" s="31">
        <f>+((D22-D21)/D21)</f>
        <v>-8.0030781069642173E-3</v>
      </c>
      <c r="F22" s="32">
        <v>-0.80123456000000004</v>
      </c>
    </row>
    <row r="23" spans="1:6">
      <c r="A23" s="25">
        <v>46163</v>
      </c>
      <c r="B23" s="26">
        <v>14686</v>
      </c>
      <c r="C23" s="24">
        <v>3</v>
      </c>
      <c r="D23" s="26">
        <v>14689</v>
      </c>
      <c r="E23" s="31">
        <f t="shared" ref="E23:E24" si="2">+((D23-D22)/D22)</f>
        <v>0.13947715460398727</v>
      </c>
      <c r="F23" s="32">
        <v>13.95123456</v>
      </c>
    </row>
    <row r="24" spans="1:6">
      <c r="A24" s="25">
        <v>46164</v>
      </c>
      <c r="B24" s="26">
        <v>14649</v>
      </c>
      <c r="C24" s="24">
        <v>3</v>
      </c>
      <c r="D24" s="26">
        <v>14652</v>
      </c>
      <c r="E24" s="31">
        <f t="shared" si="2"/>
        <v>-2.5188916876574307E-3</v>
      </c>
      <c r="F24" s="32">
        <v>-0.25123456</v>
      </c>
    </row>
    <row r="25" spans="1:6">
      <c r="A25" s="25">
        <v>46167</v>
      </c>
      <c r="B25" s="26">
        <v>12949</v>
      </c>
      <c r="C25" s="24">
        <v>3</v>
      </c>
      <c r="D25" s="26">
        <v>12952</v>
      </c>
      <c r="E25" s="31">
        <f t="shared" ref="E25:E75" si="3">+((D25-D24)/D24)</f>
        <v>-0.11602511602511603</v>
      </c>
      <c r="F25" s="32">
        <v>-11.60123456</v>
      </c>
    </row>
    <row r="26" spans="1:6">
      <c r="A26" s="25">
        <v>46168</v>
      </c>
      <c r="B26" s="26">
        <v>12961</v>
      </c>
      <c r="C26" s="24">
        <v>3</v>
      </c>
      <c r="D26" s="26">
        <v>12964</v>
      </c>
      <c r="E26" s="31">
        <f t="shared" si="3"/>
        <v>9.2649783817171094E-4</v>
      </c>
      <c r="F26" s="32">
        <v>9.1234560000000006E-2</v>
      </c>
    </row>
    <row r="27" spans="1:6">
      <c r="A27" s="25">
        <v>46169</v>
      </c>
      <c r="B27" s="26">
        <v>12914</v>
      </c>
      <c r="C27" s="24">
        <v>3</v>
      </c>
      <c r="D27" s="26">
        <v>12917</v>
      </c>
      <c r="E27" s="31">
        <f t="shared" si="3"/>
        <v>-3.625424251774144E-3</v>
      </c>
      <c r="F27" s="32">
        <v>-0.36</v>
      </c>
    </row>
    <row r="28" spans="1:6">
      <c r="A28" s="25">
        <v>46170</v>
      </c>
      <c r="B28" s="26">
        <v>12758</v>
      </c>
      <c r="C28" s="24">
        <v>3</v>
      </c>
      <c r="D28" s="26">
        <v>12761</v>
      </c>
      <c r="E28" s="31">
        <f t="shared" si="3"/>
        <v>-1.2077107687543547E-2</v>
      </c>
      <c r="F28" s="32">
        <v>-1.21</v>
      </c>
    </row>
    <row r="29" spans="1:6">
      <c r="A29" s="25">
        <v>46171</v>
      </c>
      <c r="B29" s="26">
        <v>12968</v>
      </c>
      <c r="C29" s="24">
        <v>3</v>
      </c>
      <c r="D29" s="26">
        <v>12971</v>
      </c>
      <c r="E29" s="31">
        <f t="shared" si="3"/>
        <v>1.6456390565002744E-2</v>
      </c>
      <c r="F29" s="32">
        <v>1.65</v>
      </c>
    </row>
    <row r="30" spans="1:6">
      <c r="A30" s="25">
        <v>46174</v>
      </c>
      <c r="B30" s="26">
        <v>12916</v>
      </c>
      <c r="C30" s="24">
        <v>3</v>
      </c>
      <c r="D30" s="26">
        <v>12919</v>
      </c>
      <c r="E30" s="31">
        <f t="shared" si="3"/>
        <v>-4.0089430267519852E-3</v>
      </c>
      <c r="F30" s="32">
        <v>-0.4</v>
      </c>
    </row>
    <row r="31" spans="1:6">
      <c r="A31" s="25">
        <v>46175</v>
      </c>
      <c r="B31" s="26">
        <v>12982</v>
      </c>
      <c r="C31" s="24">
        <v>3</v>
      </c>
      <c r="D31" s="26">
        <v>12985</v>
      </c>
      <c r="E31" s="31">
        <f t="shared" si="3"/>
        <v>5.1087545475656014E-3</v>
      </c>
      <c r="F31" s="32">
        <v>0.51</v>
      </c>
    </row>
    <row r="32" spans="1:6">
      <c r="A32" s="25">
        <v>46176</v>
      </c>
      <c r="B32" s="26">
        <v>12852</v>
      </c>
      <c r="C32" s="24">
        <v>3</v>
      </c>
      <c r="D32" s="26">
        <v>12855</v>
      </c>
      <c r="E32" s="31">
        <f t="shared" si="3"/>
        <v>-1.0011551790527531E-2</v>
      </c>
      <c r="F32" s="32">
        <v>-1</v>
      </c>
    </row>
    <row r="33" spans="1:6">
      <c r="A33" s="25">
        <v>46177</v>
      </c>
      <c r="B33" s="26">
        <v>12861</v>
      </c>
      <c r="C33" s="24">
        <v>3</v>
      </c>
      <c r="D33" s="26">
        <v>12864</v>
      </c>
      <c r="E33" s="31">
        <f t="shared" si="3"/>
        <v>7.0011668611435238E-4</v>
      </c>
      <c r="F33" s="32">
        <v>7.0000000000000007E-2</v>
      </c>
    </row>
    <row r="34" spans="1:6">
      <c r="A34" s="25">
        <v>46178</v>
      </c>
      <c r="B34" s="26">
        <v>12861</v>
      </c>
      <c r="C34" s="24">
        <v>3</v>
      </c>
      <c r="D34" s="26">
        <v>12864</v>
      </c>
      <c r="E34" s="31">
        <f t="shared" si="3"/>
        <v>0</v>
      </c>
      <c r="F34" s="32">
        <v>0</v>
      </c>
    </row>
    <row r="35" spans="1:6">
      <c r="A35" s="25">
        <v>46182</v>
      </c>
      <c r="B35" s="26">
        <v>12645</v>
      </c>
      <c r="C35" s="24">
        <v>3</v>
      </c>
      <c r="D35" s="26">
        <v>12648</v>
      </c>
      <c r="E35" s="31">
        <f t="shared" si="3"/>
        <v>-1.6791044776119403E-2</v>
      </c>
      <c r="F35" s="32">
        <v>-1.68</v>
      </c>
    </row>
    <row r="36" spans="1:6">
      <c r="A36" s="25">
        <v>46183</v>
      </c>
      <c r="B36" s="26">
        <v>12401</v>
      </c>
      <c r="C36" s="24">
        <v>3</v>
      </c>
      <c r="D36" s="26">
        <v>12404</v>
      </c>
      <c r="E36" s="31">
        <f t="shared" si="3"/>
        <v>-1.9291587602783048E-2</v>
      </c>
      <c r="F36" s="32">
        <v>-1.93</v>
      </c>
    </row>
    <row r="37" spans="1:6">
      <c r="A37" s="25">
        <v>46184</v>
      </c>
      <c r="B37" s="26">
        <v>12260</v>
      </c>
      <c r="C37" s="24">
        <v>3</v>
      </c>
      <c r="D37" s="26">
        <v>12263</v>
      </c>
      <c r="E37" s="31">
        <f t="shared" si="3"/>
        <v>-1.1367300870686875E-2</v>
      </c>
      <c r="F37" s="32">
        <v>-1.1399999999999999</v>
      </c>
    </row>
    <row r="38" spans="1:6">
      <c r="A38" s="25">
        <v>46185</v>
      </c>
      <c r="B38" s="26">
        <v>13444</v>
      </c>
      <c r="C38" s="24">
        <v>3</v>
      </c>
      <c r="D38" s="26">
        <v>13447</v>
      </c>
      <c r="E38" s="31">
        <f t="shared" si="3"/>
        <v>9.6550599363940309E-2</v>
      </c>
      <c r="F38" s="32">
        <v>9.66</v>
      </c>
    </row>
    <row r="39" spans="1:6">
      <c r="A39" s="25">
        <v>46188</v>
      </c>
      <c r="B39" s="26">
        <v>13557</v>
      </c>
      <c r="C39" s="24">
        <v>3</v>
      </c>
      <c r="D39" s="26">
        <v>13560</v>
      </c>
      <c r="E39" s="31">
        <f t="shared" si="3"/>
        <v>8.4033613445378148E-3</v>
      </c>
      <c r="F39" s="32">
        <v>0.84</v>
      </c>
    </row>
    <row r="40" spans="1:6">
      <c r="A40" s="25">
        <v>46189</v>
      </c>
      <c r="B40" s="26">
        <v>13566</v>
      </c>
      <c r="C40" s="24">
        <v>3</v>
      </c>
      <c r="D40" s="26">
        <v>13569</v>
      </c>
      <c r="E40" s="31">
        <f t="shared" si="3"/>
        <v>6.6371681415929203E-4</v>
      </c>
      <c r="F40" s="32">
        <v>7.0000000000000007E-2</v>
      </c>
    </row>
    <row r="41" spans="1:6">
      <c r="A41" s="25">
        <v>46190</v>
      </c>
      <c r="B41" s="26">
        <v>13567</v>
      </c>
      <c r="C41" s="24">
        <v>3</v>
      </c>
      <c r="D41" s="26">
        <v>13570</v>
      </c>
      <c r="E41" s="31">
        <f t="shared" si="3"/>
        <v>7.3697398481833586E-5</v>
      </c>
      <c r="F41" s="32">
        <v>0.01</v>
      </c>
    </row>
    <row r="42" spans="1:6">
      <c r="A42" s="25">
        <v>46191</v>
      </c>
      <c r="B42" s="26">
        <v>13443</v>
      </c>
      <c r="C42" s="24">
        <v>3</v>
      </c>
      <c r="D42" s="26">
        <v>13446</v>
      </c>
      <c r="E42" s="31">
        <f t="shared" si="3"/>
        <v>-9.1378039793662495E-3</v>
      </c>
      <c r="F42" s="32">
        <v>-0.91</v>
      </c>
    </row>
    <row r="43" spans="1:6">
      <c r="A43" s="25">
        <v>46192</v>
      </c>
      <c r="B43" s="26">
        <v>12812</v>
      </c>
      <c r="C43" s="24">
        <v>3</v>
      </c>
      <c r="D43" s="26">
        <v>12815</v>
      </c>
      <c r="E43" s="31">
        <f t="shared" si="3"/>
        <v>-4.6928454558976644E-2</v>
      </c>
      <c r="F43" s="32">
        <v>-4.6900000000000004</v>
      </c>
    </row>
    <row r="44" spans="1:6">
      <c r="A44" s="25">
        <v>46195</v>
      </c>
      <c r="B44" s="26">
        <v>14632</v>
      </c>
      <c r="C44" s="24">
        <v>3</v>
      </c>
      <c r="D44" s="26">
        <v>14635</v>
      </c>
      <c r="E44" s="31">
        <f t="shared" si="3"/>
        <v>0.14202106905969566</v>
      </c>
      <c r="F44" s="32">
        <v>14.2</v>
      </c>
    </row>
    <row r="45" spans="1:6">
      <c r="A45" s="25">
        <v>46196</v>
      </c>
      <c r="B45" s="26">
        <v>14497</v>
      </c>
      <c r="C45" s="24">
        <v>3</v>
      </c>
      <c r="D45" s="26">
        <v>14500</v>
      </c>
      <c r="E45" s="31">
        <f t="shared" si="3"/>
        <v>-9.2244619063887937E-3</v>
      </c>
      <c r="F45" s="32">
        <v>-0.92</v>
      </c>
    </row>
    <row r="46" spans="1:6">
      <c r="A46" s="25">
        <v>46198</v>
      </c>
      <c r="B46" s="26">
        <v>14307</v>
      </c>
      <c r="C46" s="24">
        <v>3</v>
      </c>
      <c r="D46" s="26">
        <v>14310</v>
      </c>
      <c r="E46" s="31">
        <f t="shared" si="3"/>
        <v>-1.3103448275862069E-2</v>
      </c>
      <c r="F46" s="32">
        <v>-1.31</v>
      </c>
    </row>
    <row r="47" spans="1:6">
      <c r="A47" s="25">
        <v>46199</v>
      </c>
      <c r="B47" s="26">
        <v>13995</v>
      </c>
      <c r="C47" s="24">
        <v>3</v>
      </c>
      <c r="D47" s="26">
        <v>13998</v>
      </c>
      <c r="E47" s="31">
        <f t="shared" si="3"/>
        <v>-2.180293501048218E-2</v>
      </c>
      <c r="F47" s="32">
        <v>-2.1800000000000002</v>
      </c>
    </row>
    <row r="48" spans="1:6">
      <c r="A48" s="25">
        <v>46203</v>
      </c>
      <c r="B48" s="26">
        <v>13908</v>
      </c>
      <c r="C48" s="24">
        <v>3</v>
      </c>
      <c r="D48" s="26">
        <v>13911</v>
      </c>
      <c r="E48" s="31">
        <f t="shared" si="3"/>
        <v>-6.2151735962280323E-3</v>
      </c>
      <c r="F48" s="32">
        <v>-0.62</v>
      </c>
    </row>
    <row r="49" spans="1:6">
      <c r="A49" s="25">
        <v>46204</v>
      </c>
      <c r="B49" s="26">
        <v>13749</v>
      </c>
      <c r="C49" s="24">
        <v>3</v>
      </c>
      <c r="D49" s="26">
        <v>13752</v>
      </c>
      <c r="E49" s="31">
        <f t="shared" si="3"/>
        <v>-1.1429803752426138E-2</v>
      </c>
      <c r="F49" s="32">
        <v>-1.1399999999999999</v>
      </c>
    </row>
    <row r="50" spans="1:6">
      <c r="A50" s="25">
        <v>46205</v>
      </c>
      <c r="B50" s="26">
        <v>13869</v>
      </c>
      <c r="C50" s="24">
        <v>3</v>
      </c>
      <c r="D50" s="26">
        <v>13872</v>
      </c>
      <c r="E50" s="31">
        <f t="shared" si="3"/>
        <v>8.7260034904013961E-3</v>
      </c>
      <c r="F50" s="32">
        <v>0.87</v>
      </c>
    </row>
    <row r="51" spans="1:6">
      <c r="A51" s="25">
        <v>46206</v>
      </c>
      <c r="B51" s="26">
        <v>13495</v>
      </c>
      <c r="C51" s="24">
        <v>3</v>
      </c>
      <c r="D51" s="26">
        <v>13498</v>
      </c>
      <c r="E51" s="31">
        <f t="shared" si="3"/>
        <v>-2.6960784313725492E-2</v>
      </c>
      <c r="F51" s="32">
        <v>-2.7</v>
      </c>
    </row>
    <row r="52" spans="1:6">
      <c r="A52" s="25">
        <v>46209</v>
      </c>
      <c r="B52" s="26">
        <v>13393</v>
      </c>
      <c r="C52" s="24">
        <v>3</v>
      </c>
      <c r="D52" s="26">
        <v>13396</v>
      </c>
      <c r="E52" s="31">
        <f t="shared" si="3"/>
        <v>-7.556675062972292E-3</v>
      </c>
      <c r="F52" s="32">
        <v>-0.76</v>
      </c>
    </row>
    <row r="53" spans="1:6">
      <c r="A53" s="25">
        <v>46210</v>
      </c>
      <c r="B53" s="26">
        <v>13475</v>
      </c>
      <c r="C53" s="24">
        <v>3</v>
      </c>
      <c r="D53" s="26">
        <v>13478</v>
      </c>
      <c r="E53" s="31">
        <f t="shared" si="3"/>
        <v>6.1212302179755153E-3</v>
      </c>
      <c r="F53" s="32">
        <v>0.61</v>
      </c>
    </row>
    <row r="54" spans="1:6">
      <c r="A54" s="25">
        <v>46211</v>
      </c>
      <c r="B54" s="26">
        <v>13365</v>
      </c>
      <c r="C54" s="24">
        <v>3</v>
      </c>
      <c r="D54" s="26">
        <v>13368</v>
      </c>
      <c r="E54" s="31">
        <f t="shared" si="3"/>
        <v>-8.1614482860958605E-3</v>
      </c>
      <c r="F54" s="32">
        <v>-0.82</v>
      </c>
    </row>
    <row r="55" spans="1:6">
      <c r="A55" s="25">
        <v>46212</v>
      </c>
      <c r="B55" s="26">
        <v>13447</v>
      </c>
      <c r="C55" s="24">
        <v>3</v>
      </c>
      <c r="D55" s="26">
        <v>13450</v>
      </c>
      <c r="E55" s="31">
        <f t="shared" si="3"/>
        <v>6.1340514661879118E-3</v>
      </c>
      <c r="F55" s="32">
        <v>0.61</v>
      </c>
    </row>
    <row r="56" spans="1:6">
      <c r="A56" s="25">
        <v>46213</v>
      </c>
      <c r="B56" s="26">
        <v>13286</v>
      </c>
      <c r="C56" s="24">
        <v>3</v>
      </c>
      <c r="D56" s="26">
        <v>13289</v>
      </c>
      <c r="E56" s="31">
        <f t="shared" si="3"/>
        <v>-1.1970260223048328E-2</v>
      </c>
      <c r="F56" s="32">
        <v>-1.2</v>
      </c>
    </row>
    <row r="57" spans="1:6">
      <c r="A57" s="25">
        <v>46216</v>
      </c>
      <c r="B57" s="26">
        <v>13313</v>
      </c>
      <c r="C57" s="24">
        <v>3</v>
      </c>
      <c r="D57" s="26">
        <v>13316</v>
      </c>
      <c r="E57" s="31">
        <f t="shared" si="3"/>
        <v>2.0317555873278653E-3</v>
      </c>
      <c r="F57" s="32">
        <v>0.2</v>
      </c>
    </row>
    <row r="58" spans="1:6">
      <c r="A58" s="25">
        <v>46217</v>
      </c>
      <c r="B58" s="26">
        <v>13191</v>
      </c>
      <c r="C58" s="24">
        <v>3</v>
      </c>
      <c r="D58" s="26">
        <v>13194</v>
      </c>
      <c r="E58" s="31">
        <f t="shared" si="3"/>
        <v>-9.1619104836287175E-3</v>
      </c>
      <c r="F58" s="32">
        <v>-0.92</v>
      </c>
    </row>
    <row r="59" spans="1:6">
      <c r="A59" s="25">
        <v>46218</v>
      </c>
      <c r="B59" s="26">
        <v>13192</v>
      </c>
      <c r="C59" s="24">
        <v>3</v>
      </c>
      <c r="D59" s="26">
        <v>13195</v>
      </c>
      <c r="E59" s="31">
        <f t="shared" si="3"/>
        <v>7.5792026678793393E-5</v>
      </c>
      <c r="F59" s="32">
        <v>0.01</v>
      </c>
    </row>
    <row r="60" spans="1:6">
      <c r="A60" s="25">
        <v>46219</v>
      </c>
      <c r="B60" s="26">
        <v>13206</v>
      </c>
      <c r="C60" s="24">
        <v>3</v>
      </c>
      <c r="D60" s="26">
        <v>13209</v>
      </c>
      <c r="E60" s="31">
        <f t="shared" si="3"/>
        <v>1.0610079575596816E-3</v>
      </c>
      <c r="F60" s="32">
        <v>0.11</v>
      </c>
    </row>
    <row r="61" spans="1:6">
      <c r="A61" s="25">
        <v>46220</v>
      </c>
      <c r="B61" s="26">
        <v>13769</v>
      </c>
      <c r="C61" s="24">
        <v>3</v>
      </c>
      <c r="D61" s="26">
        <v>13772</v>
      </c>
      <c r="E61" s="31">
        <f t="shared" si="3"/>
        <v>4.2622454387160266E-2</v>
      </c>
      <c r="F61" s="32">
        <v>4.26</v>
      </c>
    </row>
    <row r="62" spans="1:6">
      <c r="A62" s="25">
        <v>46223</v>
      </c>
      <c r="B62" s="26">
        <v>13591</v>
      </c>
      <c r="C62" s="24">
        <v>3</v>
      </c>
      <c r="D62" s="26">
        <v>13594</v>
      </c>
      <c r="E62" s="31">
        <f t="shared" si="3"/>
        <v>-1.2924774905605577E-2</v>
      </c>
      <c r="F62" s="32">
        <v>-1.26</v>
      </c>
    </row>
    <row r="63" spans="1:6">
      <c r="A63" s="25">
        <v>46224</v>
      </c>
      <c r="B63" s="26">
        <v>13510</v>
      </c>
      <c r="C63" s="24">
        <v>3</v>
      </c>
      <c r="D63" s="26">
        <v>13513</v>
      </c>
      <c r="E63" s="31">
        <f t="shared" si="3"/>
        <v>-5.9585111078416944E-3</v>
      </c>
      <c r="F63" s="32">
        <v>-0.6</v>
      </c>
    </row>
    <row r="64" spans="1:6">
      <c r="A64" s="25">
        <v>46225</v>
      </c>
      <c r="B64" s="26">
        <v>13589</v>
      </c>
      <c r="C64" s="24">
        <v>3</v>
      </c>
      <c r="D64" s="26">
        <v>13592</v>
      </c>
      <c r="E64" s="31">
        <f t="shared" si="3"/>
        <v>5.8462221564419452E-3</v>
      </c>
      <c r="F64" s="32">
        <v>0.57999999999999996</v>
      </c>
    </row>
    <row r="65" spans="1:6">
      <c r="A65" s="25">
        <v>46226</v>
      </c>
      <c r="B65" s="26">
        <v>13361</v>
      </c>
      <c r="C65" s="24">
        <v>3</v>
      </c>
      <c r="D65" s="26">
        <v>13364</v>
      </c>
      <c r="E65" s="31">
        <f t="shared" si="3"/>
        <v>-1.6774573278399058E-2</v>
      </c>
      <c r="F65" s="32">
        <v>-1.58</v>
      </c>
    </row>
    <row r="66" spans="1:6">
      <c r="A66" s="25">
        <v>46230</v>
      </c>
      <c r="B66" s="26">
        <v>13208</v>
      </c>
      <c r="C66" s="24">
        <v>3</v>
      </c>
      <c r="D66" s="26">
        <v>13211</v>
      </c>
      <c r="E66" s="31">
        <f t="shared" si="3"/>
        <v>-1.1448668063454055E-2</v>
      </c>
      <c r="F66" s="32">
        <v>-1.1399999999999999</v>
      </c>
    </row>
    <row r="67" spans="1:6">
      <c r="A67" s="25">
        <v>46231</v>
      </c>
      <c r="B67" s="26">
        <v>13105</v>
      </c>
      <c r="C67" s="24">
        <v>3</v>
      </c>
      <c r="D67" s="26">
        <v>13108</v>
      </c>
      <c r="E67" s="31">
        <f t="shared" si="3"/>
        <v>-7.7965331920369389E-3</v>
      </c>
      <c r="F67" s="32">
        <v>-0.78</v>
      </c>
    </row>
    <row r="68" spans="1:6">
      <c r="A68" s="25">
        <v>46232</v>
      </c>
      <c r="B68" s="26">
        <v>12971</v>
      </c>
      <c r="C68" s="24">
        <v>3</v>
      </c>
      <c r="D68" s="26">
        <v>12974</v>
      </c>
      <c r="E68" s="31">
        <f t="shared" si="3"/>
        <v>-1.0222764723832774E-2</v>
      </c>
      <c r="F68" s="32">
        <v>-1.02</v>
      </c>
    </row>
    <row r="69" spans="1:6">
      <c r="A69" s="25">
        <v>46233</v>
      </c>
      <c r="B69" s="26">
        <v>13004</v>
      </c>
      <c r="C69" s="24">
        <v>3</v>
      </c>
      <c r="D69" s="26">
        <v>13007</v>
      </c>
      <c r="E69" s="31">
        <f t="shared" si="3"/>
        <v>2.5435486357330045E-3</v>
      </c>
      <c r="F69" s="32">
        <v>0.25</v>
      </c>
    </row>
    <row r="70" spans="1:6">
      <c r="A70" s="25">
        <v>46234</v>
      </c>
      <c r="B70" s="26">
        <v>12822</v>
      </c>
      <c r="C70" s="24">
        <v>3</v>
      </c>
      <c r="D70" s="26">
        <v>12825</v>
      </c>
      <c r="E70" s="31">
        <f t="shared" si="3"/>
        <v>-1.3992465595448604E-2</v>
      </c>
      <c r="F70" s="32">
        <v>-1.4</v>
      </c>
    </row>
    <row r="71" spans="1:6">
      <c r="A71" s="25">
        <v>46237</v>
      </c>
      <c r="B71" s="26">
        <v>13167</v>
      </c>
      <c r="C71" s="24">
        <v>3</v>
      </c>
      <c r="D71" s="26">
        <v>13170</v>
      </c>
      <c r="E71" s="31">
        <f t="shared" si="3"/>
        <v>2.6900584795321637E-2</v>
      </c>
      <c r="F71" s="32">
        <v>2.69</v>
      </c>
    </row>
    <row r="72" spans="1:6">
      <c r="A72" s="25">
        <v>46238</v>
      </c>
      <c r="B72" s="26">
        <v>13114</v>
      </c>
      <c r="C72" s="24">
        <v>3</v>
      </c>
      <c r="D72" s="26">
        <v>13117</v>
      </c>
      <c r="E72" s="31">
        <f t="shared" si="3"/>
        <v>-4.0242976461655278E-3</v>
      </c>
      <c r="F72" s="32">
        <v>-4.4000000000000004</v>
      </c>
    </row>
    <row r="73" spans="1:6">
      <c r="A73" s="25">
        <v>46239</v>
      </c>
      <c r="B73" s="26">
        <v>13146</v>
      </c>
      <c r="C73" s="24">
        <v>3</v>
      </c>
      <c r="D73" s="26">
        <v>13149</v>
      </c>
      <c r="E73" s="31">
        <f t="shared" si="3"/>
        <v>2.4395822215445605E-3</v>
      </c>
      <c r="F73" s="32">
        <v>0.24</v>
      </c>
    </row>
    <row r="74" spans="1:6">
      <c r="A74" s="25">
        <v>46240</v>
      </c>
      <c r="B74" s="26">
        <v>13234</v>
      </c>
      <c r="C74" s="24">
        <v>3</v>
      </c>
      <c r="D74" s="26">
        <v>13237</v>
      </c>
      <c r="E74" s="31">
        <f t="shared" si="3"/>
        <v>6.6925241463229139E-3</v>
      </c>
      <c r="F74" s="32">
        <v>0.67</v>
      </c>
    </row>
    <row r="75" spans="1:6">
      <c r="A75" s="25">
        <v>46241</v>
      </c>
      <c r="B75" s="26">
        <v>13266</v>
      </c>
      <c r="C75" s="24">
        <v>3</v>
      </c>
      <c r="D75" s="26">
        <v>13269</v>
      </c>
      <c r="E75" s="31">
        <f t="shared" si="3"/>
        <v>2.4174661932462038E-3</v>
      </c>
      <c r="F75" s="32">
        <v>0.24</v>
      </c>
    </row>
    <row r="76" spans="1:6">
      <c r="A76" s="25">
        <v>46244</v>
      </c>
      <c r="B76" s="26">
        <v>13237</v>
      </c>
      <c r="C76" s="24">
        <v>3</v>
      </c>
      <c r="D76" s="26">
        <v>13240</v>
      </c>
      <c r="E76" s="31">
        <f t="shared" ref="E76:E102" si="4">+((D76-D75)/D75)</f>
        <v>-2.185545255859522E-3</v>
      </c>
      <c r="F76" s="32">
        <v>0.22</v>
      </c>
    </row>
    <row r="77" spans="1:6">
      <c r="A77" s="25">
        <v>46245</v>
      </c>
      <c r="B77" s="26">
        <v>13220</v>
      </c>
      <c r="C77" s="24">
        <v>3</v>
      </c>
      <c r="D77" s="26">
        <v>13223</v>
      </c>
      <c r="E77" s="31">
        <f t="shared" si="4"/>
        <v>-1.2839879154078551E-3</v>
      </c>
      <c r="F77" s="32">
        <v>-0.13</v>
      </c>
    </row>
    <row r="78" spans="1:6">
      <c r="A78" s="25">
        <v>46246</v>
      </c>
      <c r="B78" s="26">
        <v>13231</v>
      </c>
      <c r="C78" s="24">
        <v>3</v>
      </c>
      <c r="D78" s="26">
        <v>13234</v>
      </c>
      <c r="E78" s="31">
        <f t="shared" si="4"/>
        <v>8.3188383876578692E-4</v>
      </c>
      <c r="F78" s="32">
        <v>0.08</v>
      </c>
    </row>
    <row r="79" spans="1:6">
      <c r="A79" s="25">
        <v>46247</v>
      </c>
      <c r="B79" s="26">
        <v>13147</v>
      </c>
      <c r="C79" s="24">
        <v>3</v>
      </c>
      <c r="D79" s="26">
        <v>13150</v>
      </c>
      <c r="E79" s="31">
        <f t="shared" si="4"/>
        <v>-6.3472872903128303E-3</v>
      </c>
      <c r="F79" s="32">
        <v>-0.63</v>
      </c>
    </row>
    <row r="80" spans="1:6">
      <c r="A80" s="25">
        <v>46248</v>
      </c>
      <c r="B80" s="26">
        <v>13019</v>
      </c>
      <c r="C80" s="24">
        <v>3</v>
      </c>
      <c r="D80" s="26">
        <v>13022</v>
      </c>
      <c r="E80" s="31">
        <f t="shared" si="4"/>
        <v>-9.7338403041825096E-3</v>
      </c>
      <c r="F80" s="32">
        <v>-97</v>
      </c>
    </row>
    <row r="81" spans="1:6">
      <c r="A81" s="25">
        <v>46251</v>
      </c>
      <c r="B81" s="26">
        <v>13022</v>
      </c>
      <c r="C81" s="24">
        <v>3</v>
      </c>
      <c r="D81" s="26">
        <v>13025</v>
      </c>
      <c r="E81" s="31">
        <f t="shared" si="4"/>
        <v>2.3037935800952235E-4</v>
      </c>
      <c r="F81" s="32">
        <v>0.02</v>
      </c>
    </row>
    <row r="82" spans="1:6">
      <c r="A82" s="25">
        <v>46252</v>
      </c>
      <c r="B82" s="26">
        <v>13431</v>
      </c>
      <c r="C82" s="24">
        <v>3</v>
      </c>
      <c r="D82" s="26">
        <v>13434</v>
      </c>
      <c r="E82" s="31">
        <f t="shared" si="4"/>
        <v>3.1401151631477928E-2</v>
      </c>
      <c r="F82" s="32">
        <v>3.14</v>
      </c>
    </row>
    <row r="83" spans="1:6">
      <c r="A83" s="25">
        <v>46253</v>
      </c>
      <c r="B83" s="26">
        <v>13323</v>
      </c>
      <c r="C83" s="24">
        <v>3</v>
      </c>
      <c r="D83" s="26">
        <v>13326</v>
      </c>
      <c r="E83" s="31">
        <f t="shared" si="4"/>
        <v>-8.0393032603841008E-3</v>
      </c>
      <c r="F83" s="32">
        <v>-0.8</v>
      </c>
    </row>
    <row r="84" spans="1:6">
      <c r="A84" s="25">
        <v>46254</v>
      </c>
      <c r="B84" s="26">
        <v>13436</v>
      </c>
      <c r="C84" s="24">
        <v>3</v>
      </c>
      <c r="D84" s="26">
        <v>13439</v>
      </c>
      <c r="E84" s="31">
        <f t="shared" si="4"/>
        <v>8.4796638150983032E-3</v>
      </c>
      <c r="F84" s="32">
        <v>85</v>
      </c>
    </row>
    <row r="85" spans="1:6">
      <c r="A85" s="25">
        <v>46255</v>
      </c>
      <c r="B85" s="26">
        <v>13379</v>
      </c>
      <c r="C85" s="24">
        <v>3</v>
      </c>
      <c r="D85" s="26">
        <v>13382</v>
      </c>
      <c r="E85" s="31">
        <f t="shared" si="4"/>
        <v>-4.2413870079619021E-3</v>
      </c>
      <c r="F85" s="32">
        <v>-0.42</v>
      </c>
    </row>
    <row r="86" spans="1:6">
      <c r="A86" s="25">
        <v>46258</v>
      </c>
      <c r="B86" s="26">
        <v>13352</v>
      </c>
      <c r="C86" s="24">
        <v>3</v>
      </c>
      <c r="D86" s="26">
        <v>13355</v>
      </c>
      <c r="E86" s="31">
        <f t="shared" si="4"/>
        <v>-2.01763562995068E-3</v>
      </c>
      <c r="F86" s="32">
        <v>-0.20300000000000001</v>
      </c>
    </row>
    <row r="87" spans="1:6">
      <c r="A87" s="25">
        <v>46259</v>
      </c>
      <c r="B87" s="26">
        <v>13205</v>
      </c>
      <c r="C87" s="24">
        <v>3</v>
      </c>
      <c r="D87" s="26">
        <v>13208</v>
      </c>
      <c r="E87" s="31">
        <f t="shared" si="4"/>
        <v>-1.1007113440658928E-2</v>
      </c>
      <c r="F87" s="32">
        <v>-1.1000000000000001</v>
      </c>
    </row>
    <row r="88" spans="1:6">
      <c r="A88" s="25">
        <v>46260</v>
      </c>
      <c r="B88" s="26">
        <v>13147</v>
      </c>
      <c r="C88" s="24">
        <v>3</v>
      </c>
      <c r="D88" s="26">
        <v>13150</v>
      </c>
      <c r="E88" s="31">
        <f t="shared" si="4"/>
        <v>-4.3912780133252578E-3</v>
      </c>
      <c r="F88" s="32">
        <v>-4.4400000000000004</v>
      </c>
    </row>
    <row r="89" spans="1:6">
      <c r="A89" s="25">
        <v>46261</v>
      </c>
      <c r="B89" s="26">
        <v>13053</v>
      </c>
      <c r="C89" s="24">
        <v>3</v>
      </c>
      <c r="D89" s="26">
        <v>13056</v>
      </c>
      <c r="E89" s="31">
        <f t="shared" si="4"/>
        <v>-7.1482889733840305E-3</v>
      </c>
      <c r="F89" s="32">
        <v>-0.71</v>
      </c>
    </row>
    <row r="90" spans="1:6">
      <c r="A90" s="25">
        <v>46262</v>
      </c>
      <c r="B90" s="26">
        <v>13360</v>
      </c>
      <c r="C90" s="24">
        <v>3</v>
      </c>
      <c r="D90" s="26">
        <v>13363</v>
      </c>
      <c r="E90" s="31">
        <f t="shared" si="4"/>
        <v>2.3514093137254902E-2</v>
      </c>
      <c r="F90" s="32">
        <v>2.35</v>
      </c>
    </row>
    <row r="91" spans="1:6">
      <c r="A91" s="25">
        <v>46265</v>
      </c>
      <c r="B91" s="26">
        <v>13285</v>
      </c>
      <c r="C91" s="24">
        <v>3</v>
      </c>
      <c r="D91" s="26">
        <v>13288</v>
      </c>
      <c r="E91" s="31">
        <f t="shared" si="4"/>
        <v>-5.612512160443014E-3</v>
      </c>
      <c r="F91" s="32">
        <v>-0.56000000000000005</v>
      </c>
    </row>
    <row r="92" spans="1:6">
      <c r="A92" s="25">
        <v>46266</v>
      </c>
      <c r="B92" s="26">
        <v>12895</v>
      </c>
      <c r="C92" s="24">
        <v>3</v>
      </c>
      <c r="D92" s="26">
        <v>12898</v>
      </c>
      <c r="E92" s="31">
        <f t="shared" si="4"/>
        <v>-2.9349789283564118E-2</v>
      </c>
      <c r="F92" s="32">
        <v>-2.93</v>
      </c>
    </row>
    <row r="93" spans="1:6">
      <c r="A93" s="25">
        <v>46267</v>
      </c>
      <c r="B93" s="26">
        <v>12709</v>
      </c>
      <c r="C93" s="24">
        <v>3</v>
      </c>
      <c r="D93" s="26">
        <v>12712</v>
      </c>
      <c r="E93" s="31">
        <f t="shared" si="4"/>
        <v>-1.4420840440378353E-2</v>
      </c>
      <c r="F93" s="32">
        <v>-1.44</v>
      </c>
    </row>
    <row r="94" spans="1:6">
      <c r="A94" s="25">
        <v>46268</v>
      </c>
      <c r="B94" s="26">
        <v>12864</v>
      </c>
      <c r="C94" s="24">
        <v>3</v>
      </c>
      <c r="D94" s="26">
        <v>12867</v>
      </c>
      <c r="E94" s="31">
        <f t="shared" si="4"/>
        <v>1.2193203272498426E-2</v>
      </c>
      <c r="F94" s="32">
        <v>1.22</v>
      </c>
    </row>
    <row r="95" spans="1:6">
      <c r="A95" s="25">
        <v>46269</v>
      </c>
      <c r="B95" s="26">
        <v>12801</v>
      </c>
      <c r="C95" s="24">
        <v>3</v>
      </c>
      <c r="D95" s="26">
        <v>12804</v>
      </c>
      <c r="E95" s="31">
        <f t="shared" si="4"/>
        <v>-4.8962462112380504E-3</v>
      </c>
      <c r="F95" s="32">
        <v>-0.49</v>
      </c>
    </row>
    <row r="96" spans="1:6">
      <c r="A96" s="25">
        <v>46272</v>
      </c>
      <c r="B96" s="26">
        <v>12979</v>
      </c>
      <c r="C96" s="24">
        <v>3</v>
      </c>
      <c r="D96" s="26">
        <v>12982</v>
      </c>
      <c r="E96" s="31">
        <f t="shared" si="4"/>
        <v>1.3901905654482974E-2</v>
      </c>
      <c r="F96" s="32">
        <v>1.39</v>
      </c>
    </row>
    <row r="97" spans="1:6">
      <c r="A97" s="25">
        <v>46273</v>
      </c>
      <c r="B97" s="26">
        <v>12912</v>
      </c>
      <c r="C97" s="24">
        <v>3</v>
      </c>
      <c r="D97" s="26">
        <v>12915</v>
      </c>
      <c r="E97" s="31">
        <f t="shared" si="4"/>
        <v>-5.1609921429671855E-3</v>
      </c>
      <c r="F97" s="32">
        <v>-0.52</v>
      </c>
    </row>
    <row r="98" spans="1:6">
      <c r="A98" s="25">
        <v>46274</v>
      </c>
      <c r="B98" s="26">
        <v>12898</v>
      </c>
      <c r="C98" s="24">
        <v>3</v>
      </c>
      <c r="D98" s="26">
        <v>12901</v>
      </c>
      <c r="E98" s="31">
        <f t="shared" si="4"/>
        <v>-1.0840108401084011E-3</v>
      </c>
      <c r="F98" s="32">
        <v>-0.11</v>
      </c>
    </row>
    <row r="99" spans="1:6">
      <c r="A99" s="25">
        <v>46275</v>
      </c>
      <c r="B99" s="26">
        <v>12855</v>
      </c>
      <c r="C99" s="24">
        <v>3</v>
      </c>
      <c r="D99" s="26">
        <v>12858</v>
      </c>
      <c r="E99" s="31">
        <f t="shared" si="4"/>
        <v>-3.3330749554298118E-3</v>
      </c>
      <c r="F99" s="32">
        <v>-0.33</v>
      </c>
    </row>
    <row r="100" spans="1:6">
      <c r="A100" s="25">
        <v>46276</v>
      </c>
      <c r="B100" s="26">
        <v>13098</v>
      </c>
      <c r="C100" s="24">
        <v>3</v>
      </c>
      <c r="D100" s="26">
        <v>13101</v>
      </c>
      <c r="E100" s="31">
        <f t="shared" si="4"/>
        <v>1.8898740083994399E-2</v>
      </c>
      <c r="F100" s="32">
        <v>1.89</v>
      </c>
    </row>
    <row r="101" spans="1:6">
      <c r="A101" s="25">
        <v>46280</v>
      </c>
      <c r="B101" s="26">
        <v>12938</v>
      </c>
      <c r="C101" s="24">
        <v>3</v>
      </c>
      <c r="D101" s="26">
        <v>12941</v>
      </c>
      <c r="E101" s="31">
        <f t="shared" si="4"/>
        <v>-1.2212808182581482E-2</v>
      </c>
      <c r="F101" s="32">
        <v>-1.22</v>
      </c>
    </row>
    <row r="102" spans="1:6">
      <c r="A102" s="25">
        <v>46281</v>
      </c>
      <c r="B102" s="26">
        <v>12985</v>
      </c>
      <c r="C102" s="24">
        <v>3</v>
      </c>
      <c r="D102" s="26">
        <v>12988</v>
      </c>
      <c r="E102" s="31">
        <f t="shared" si="4"/>
        <v>3.6318677072869174E-3</v>
      </c>
      <c r="F102" s="32">
        <v>0.36</v>
      </c>
    </row>
    <row r="103" spans="1:6">
      <c r="E103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2026-09-18T13:00:31Z</dcterms:modified>
</cp:coreProperties>
</file>