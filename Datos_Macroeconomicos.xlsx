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C25" i="4" l="1"/>
  <c r="E94" i="6" l="1"/>
  <c r="C2" i="2"/>
  <c r="E93" i="6" l="1"/>
  <c r="C3" i="2"/>
  <c r="E92" i="6" l="1"/>
  <c r="C4" i="2"/>
  <c r="C5" i="2"/>
  <c r="E91" i="6" l="1"/>
  <c r="E90" i="6" l="1"/>
  <c r="C6" i="2" l="1"/>
  <c r="E89" i="6" l="1"/>
  <c r="C24" i="4"/>
  <c r="C7" i="2"/>
  <c r="E88" i="6" l="1"/>
  <c r="C8" i="2" l="1"/>
  <c r="C9" i="2" l="1"/>
  <c r="E87" i="6"/>
  <c r="E86" i="6" l="1"/>
  <c r="C10" i="2" l="1"/>
  <c r="E85" i="6" l="1"/>
  <c r="C11" i="2" l="1"/>
  <c r="E84" i="6" l="1"/>
  <c r="C12" i="2" l="1"/>
  <c r="E83" i="6" l="1"/>
  <c r="C13" i="2"/>
  <c r="E82" i="6" l="1"/>
  <c r="C14" i="2"/>
  <c r="E81" i="6" l="1"/>
  <c r="C15" i="2" l="1"/>
  <c r="C16" i="2"/>
  <c r="E80" i="6" l="1"/>
  <c r="E79" i="6" l="1"/>
  <c r="C23" i="4" l="1"/>
  <c r="C17" i="2"/>
  <c r="C18" i="2"/>
  <c r="E78" i="6" l="1"/>
  <c r="E77" i="6" l="1"/>
  <c r="C19" i="2" l="1"/>
  <c r="E76" i="6" l="1"/>
  <c r="C20" i="2" l="1"/>
  <c r="C21" i="2" l="1"/>
  <c r="E75" i="6" l="1"/>
  <c r="E74" i="6" l="1"/>
  <c r="C22" i="2" l="1"/>
  <c r="E73" i="6" l="1"/>
  <c r="E72" i="6" l="1"/>
  <c r="C23" i="2" l="1"/>
  <c r="E71" i="6" l="1"/>
  <c r="C24" i="2" l="1"/>
  <c r="E70" i="6" l="1"/>
  <c r="C25" i="2" l="1"/>
  <c r="E69" i="6" l="1"/>
  <c r="C26" i="2" l="1"/>
  <c r="C27" i="2"/>
  <c r="E68" i="6" l="1"/>
  <c r="E67" i="6" l="1"/>
  <c r="C28" i="2" l="1"/>
  <c r="E66" i="6" l="1"/>
  <c r="C29" i="2" l="1"/>
  <c r="E65" i="6" l="1"/>
  <c r="C30" i="2" l="1"/>
  <c r="E64" i="6" l="1"/>
  <c r="C31" i="2" l="1"/>
  <c r="E63" i="6" l="1"/>
  <c r="C32" i="2"/>
  <c r="E62" i="6" l="1"/>
  <c r="C33" i="2" l="1"/>
  <c r="C34" i="2" l="1"/>
  <c r="E61" i="6"/>
  <c r="E60" i="6" l="1"/>
  <c r="C35" i="2" l="1"/>
  <c r="E59" i="6"/>
  <c r="E58" i="6" l="1"/>
  <c r="C36" i="2" l="1"/>
  <c r="E57" i="6" l="1"/>
  <c r="C37" i="2"/>
  <c r="E56" i="6" l="1"/>
  <c r="C38" i="2" l="1"/>
  <c r="E55" i="6" l="1"/>
  <c r="C39" i="2" l="1"/>
  <c r="E54" i="6" l="1"/>
  <c r="C44" i="2" l="1"/>
  <c r="C40" i="2"/>
  <c r="E53" i="6" l="1"/>
  <c r="C41" i="2" l="1"/>
  <c r="E52" i="6" l="1"/>
  <c r="C42" i="2" l="1"/>
  <c r="E51" i="6" l="1"/>
  <c r="C43" i="2" l="1"/>
  <c r="C22" i="4" l="1"/>
  <c r="E50" i="6"/>
  <c r="E49" i="6" l="1"/>
  <c r="C45" i="2"/>
  <c r="E48" i="6" l="1"/>
  <c r="C46" i="2"/>
  <c r="E47" i="6" l="1"/>
  <c r="C47" i="2" l="1"/>
  <c r="E46" i="6" l="1"/>
  <c r="C18" i="4" l="1"/>
  <c r="C19" i="4"/>
  <c r="C20" i="4"/>
  <c r="C21" i="4"/>
  <c r="C48" i="2"/>
  <c r="E45" i="6" l="1"/>
  <c r="E44" i="6"/>
  <c r="C49" i="2" l="1"/>
  <c r="E43" i="6" l="1"/>
  <c r="C50" i="2" l="1"/>
  <c r="E42" i="6" l="1"/>
  <c r="C51" i="2" l="1"/>
  <c r="E41" i="6" l="1"/>
  <c r="C52" i="2" l="1"/>
  <c r="E40" i="6" l="1"/>
  <c r="C53" i="2" l="1"/>
  <c r="E39" i="6" l="1"/>
  <c r="C54" i="2"/>
  <c r="E38" i="6" l="1"/>
  <c r="C55" i="2" l="1"/>
  <c r="E37" i="6" l="1"/>
  <c r="C56" i="2" l="1"/>
  <c r="C57" i="2"/>
  <c r="E36" i="6" l="1"/>
  <c r="E35" i="6" l="1"/>
  <c r="C58" i="2" l="1"/>
  <c r="C59" i="2" l="1"/>
  <c r="E34" i="6"/>
  <c r="E33" i="6" l="1"/>
  <c r="C60" i="2" l="1"/>
  <c r="E32" i="6" l="1"/>
  <c r="C61" i="2" l="1"/>
  <c r="C62" i="2" l="1"/>
  <c r="E31" i="6"/>
  <c r="E30" i="6" l="1"/>
  <c r="C63" i="2" l="1"/>
  <c r="C64" i="2"/>
  <c r="E29" i="6" l="1"/>
  <c r="E28" i="6" l="1"/>
  <c r="C17" i="4" l="1"/>
  <c r="C65" i="2"/>
  <c r="E27" i="6" l="1"/>
  <c r="C66" i="2" l="1"/>
  <c r="C67" i="2" l="1"/>
  <c r="E26" i="6" l="1"/>
  <c r="E25" i="6" l="1"/>
  <c r="E23" i="6"/>
  <c r="E24" i="6"/>
  <c r="C68" i="2" l="1"/>
  <c r="C69" i="2" l="1"/>
  <c r="C70" i="2" l="1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71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<sst xmlns="http://schemas.openxmlformats.org/spreadsheetml/2006/main" count="47" uniqueCount="39">
  <si>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</si>
  <si>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</si>
  <si>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</si>
  <si>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</si>
  <si>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</si>
  <si>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</si>
  <si>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</si>
  <si>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</si>
  <si>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</si>
  <si>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</si>
  <si>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</si>
  <si>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</si>
  <si>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</si>
  <si>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</si>
  <si>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</si>
  <si>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</si>
  <si>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</si>
  <si>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</si>
  <si>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</si>
  <si>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</si>
  <si>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</si>
  <si>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</si>
  <si>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</si>
  <si>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</si>
  <si>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</si>
  <si>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</si>
  <si>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</si>
  <si>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</si>
  <si>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</si>
  <si>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</si>
  <si>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</si>
  <si>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</si>
  <si>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</si>
  <si>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</si>
  <si>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</si>
  <si>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</si>
  <si>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</si>
  <si>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</si>
  <si>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0409/2026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</si>
</sst>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6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2"/>
  <sheetViews>
    <sheetView tabSelected="1" topLeftCell="A94" workbookViewId="0">
      <selection activeCell="A113" sqref="A113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  <row r="94" spans="1:8">
      <c r="A94" s="22">
        <v>46245</v>
      </c>
      <c r="B94" s="18">
        <v>100</v>
      </c>
      <c r="D94" s="18">
        <v>90</v>
      </c>
      <c r="F94" s="18">
        <v>100</v>
      </c>
      <c r="H94" s="18">
        <v>95</v>
      </c>
    </row>
    <row r="95" spans="1:8">
      <c r="A95" s="22">
        <v>46246</v>
      </c>
      <c r="B95" s="18">
        <v>2710.8615399999999</v>
      </c>
      <c r="C95" s="21"/>
      <c r="D95" s="18">
        <v>90</v>
      </c>
      <c r="E95" s="21"/>
      <c r="F95" s="18">
        <v>160</v>
      </c>
      <c r="G95" s="21"/>
      <c r="H95" s="18">
        <v>143.79</v>
      </c>
    </row>
    <row r="96" spans="1:8">
      <c r="A96" s="22">
        <v>46247</v>
      </c>
      <c r="B96" s="18">
        <v>480</v>
      </c>
      <c r="C96" s="21"/>
      <c r="D96" s="18">
        <v>90</v>
      </c>
      <c r="E96" s="21"/>
      <c r="F96" s="18">
        <v>100</v>
      </c>
      <c r="G96" s="21"/>
      <c r="H96" s="18">
        <v>95</v>
      </c>
    </row>
    <row r="97" spans="1:8">
      <c r="A97" s="22">
        <v>46248</v>
      </c>
      <c r="B97" s="18">
        <v>4514.1648089999999</v>
      </c>
      <c r="C97" s="21"/>
      <c r="D97" s="18">
        <v>70</v>
      </c>
      <c r="E97" s="21"/>
      <c r="F97" s="18">
        <v>70</v>
      </c>
      <c r="G97" s="21"/>
      <c r="H97" s="18">
        <v>70</v>
      </c>
    </row>
    <row r="98" spans="1:8">
      <c r="A98" s="22">
        <v>46251</v>
      </c>
      <c r="B98" s="18">
        <v>0</v>
      </c>
      <c r="C98" s="21"/>
      <c r="D98" s="18">
        <v>0</v>
      </c>
      <c r="E98" s="21"/>
      <c r="F98" s="18">
        <v>0</v>
      </c>
      <c r="G98" s="21"/>
      <c r="H98" s="18">
        <v>0</v>
      </c>
    </row>
    <row r="99" spans="1:8">
      <c r="A99" s="22">
        <v>46252</v>
      </c>
      <c r="B99" s="18">
        <v>120</v>
      </c>
      <c r="C99" s="21"/>
      <c r="D99" s="18">
        <v>90</v>
      </c>
      <c r="E99" s="21"/>
      <c r="F99" s="18">
        <v>100</v>
      </c>
      <c r="G99" s="21"/>
      <c r="H99" s="18">
        <v>95</v>
      </c>
    </row>
    <row r="100" spans="1:8">
      <c r="A100" s="22">
        <v>46253</v>
      </c>
      <c r="B100" s="18">
        <v>0</v>
      </c>
      <c r="C100" s="21"/>
      <c r="D100" s="18">
        <v>0</v>
      </c>
      <c r="E100" s="21"/>
      <c r="F100" s="18">
        <v>0</v>
      </c>
      <c r="G100" s="21"/>
      <c r="H100" s="18">
        <v>0</v>
      </c>
    </row>
    <row r="101" spans="1:8">
      <c r="A101" s="22">
        <v>46254</v>
      </c>
      <c r="B101" s="18">
        <v>0</v>
      </c>
      <c r="C101" s="21"/>
      <c r="D101" s="18">
        <v>0</v>
      </c>
      <c r="E101" s="21"/>
      <c r="F101" s="18">
        <v>0</v>
      </c>
      <c r="G101" s="21"/>
      <c r="H101" s="18">
        <v>0</v>
      </c>
    </row>
    <row r="102" spans="1:8">
      <c r="A102" s="22">
        <v>46255</v>
      </c>
      <c r="B102" s="18">
        <v>0</v>
      </c>
      <c r="C102" s="21"/>
      <c r="D102" s="18">
        <v>0</v>
      </c>
      <c r="E102" s="21"/>
      <c r="F102" s="18">
        <v>0</v>
      </c>
      <c r="G102" s="21"/>
      <c r="H102" s="18">
        <v>0</v>
      </c>
    </row>
    <row r="103" spans="1:8">
      <c r="A103" s="22">
        <v>46256</v>
      </c>
      <c r="B103" s="18">
        <v>60</v>
      </c>
      <c r="C103" s="21"/>
      <c r="D103" s="18">
        <v>90</v>
      </c>
      <c r="E103" s="21"/>
      <c r="F103" s="18">
        <v>100</v>
      </c>
      <c r="G103" s="21"/>
      <c r="H103" s="18">
        <v>95</v>
      </c>
    </row>
    <row r="104" spans="1:8">
      <c r="A104" s="22">
        <v>46259</v>
      </c>
      <c r="B104" s="18">
        <v>53</v>
      </c>
      <c r="C104" s="21"/>
      <c r="D104" s="18">
        <v>250</v>
      </c>
      <c r="E104" s="21"/>
      <c r="F104" s="18">
        <v>250</v>
      </c>
      <c r="G104" s="21"/>
      <c r="H104" s="18">
        <v>250</v>
      </c>
    </row>
    <row r="105" spans="1:8">
      <c r="A105" s="22">
        <v>46260</v>
      </c>
      <c r="B105" s="18">
        <v>266</v>
      </c>
      <c r="C105" s="21"/>
      <c r="D105" s="18">
        <v>120</v>
      </c>
      <c r="E105" s="21"/>
      <c r="F105" s="18">
        <v>250</v>
      </c>
      <c r="G105" s="21"/>
      <c r="H105" s="18">
        <v>183.16</v>
      </c>
    </row>
    <row r="106" spans="1:8">
      <c r="A106" s="22">
        <v>46261</v>
      </c>
      <c r="B106" s="18">
        <v>175</v>
      </c>
      <c r="C106" s="21"/>
      <c r="D106" s="18">
        <v>90</v>
      </c>
      <c r="E106" s="21"/>
      <c r="F106" s="18">
        <v>100</v>
      </c>
      <c r="G106" s="21"/>
      <c r="H106" s="18">
        <v>96</v>
      </c>
    </row>
    <row r="107" spans="1:8">
      <c r="A107" s="22">
        <v>46262</v>
      </c>
      <c r="B107" s="18">
        <v>800</v>
      </c>
      <c r="C107" s="21"/>
      <c r="D107" s="18">
        <v>50</v>
      </c>
      <c r="E107" s="21"/>
      <c r="F107" s="18">
        <v>500</v>
      </c>
      <c r="G107" s="21"/>
      <c r="H107" s="18">
        <v>275</v>
      </c>
    </row>
    <row r="108" spans="1:8">
      <c r="A108" s="22">
        <v>46265</v>
      </c>
      <c r="B108" s="18">
        <v>60</v>
      </c>
      <c r="C108" s="21"/>
      <c r="D108" s="18">
        <v>40</v>
      </c>
      <c r="E108" s="21"/>
      <c r="F108" s="18">
        <v>40</v>
      </c>
      <c r="G108" s="21"/>
      <c r="H108" s="18">
        <v>40</v>
      </c>
    </row>
    <row r="109" spans="1:8">
      <c r="A109" s="22">
        <v>46266</v>
      </c>
      <c r="B109" s="18">
        <v>0</v>
      </c>
      <c r="C109" s="21"/>
      <c r="D109" s="18">
        <v>0</v>
      </c>
      <c r="E109" s="21"/>
      <c r="F109" s="18">
        <v>0</v>
      </c>
      <c r="G109" s="21"/>
      <c r="H109" s="18">
        <v>0</v>
      </c>
    </row>
    <row r="110" spans="1:8">
      <c r="A110" s="22">
        <v>46267</v>
      </c>
      <c r="B110" s="18">
        <v>700</v>
      </c>
      <c r="C110" s="21"/>
      <c r="D110" s="18">
        <v>90</v>
      </c>
      <c r="E110" s="21"/>
      <c r="F110" s="18">
        <v>100</v>
      </c>
      <c r="G110" s="21"/>
      <c r="H110" s="18">
        <v>95</v>
      </c>
    </row>
    <row r="111" spans="1:8">
      <c r="A111" s="22">
        <v>46268</v>
      </c>
      <c r="B111" s="18">
        <v>420</v>
      </c>
      <c r="C111" s="21"/>
      <c r="D111" s="18">
        <v>80</v>
      </c>
      <c r="E111" s="21"/>
      <c r="F111" s="18">
        <v>100</v>
      </c>
      <c r="G111" s="21"/>
      <c r="H111" s="18">
        <v>91.19</v>
      </c>
    </row>
    <row r="112" spans="1:8">
      <c r="A112" s="11" t="s">
        <v>38</v>
      </c>
      <c r="B112" s="18">
        <v>604</v>
      </c>
      <c r="C112" s="21"/>
      <c r="D112" s="18">
        <v>20</v>
      </c>
      <c r="E112" s="21"/>
      <c r="F112" s="18">
        <v>30</v>
      </c>
      <c r="G112" s="21"/>
      <c r="H112" s="18">
        <v>26.75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46269</v>
      </c>
      <c r="B2" s="25">
        <v>5.8797831800000004</v>
      </c>
      <c r="C2" s="31">
        <f t="shared" ref="C2:C23" si="0">+((B3-B4)/B4)</f>
        <v>80.163058476193896</v>
      </c>
      <c r="D2" s="25" t="s">
        <v>8</v>
      </c>
      <c r="E2" s="5">
        <v>42155.425069182624</v>
      </c>
    </row>
    <row r="3" spans="1:5" ht="17.25" customHeight="1">
      <c r="A3" s="26">
        <v>46268</v>
      </c>
      <c r="B3" s="25">
        <v>287.33741307000003</v>
      </c>
      <c r="C3" s="31">
        <f t="shared" si="0"/>
        <v>-0.77463732472189939</v>
      </c>
      <c r="D3" s="25" t="s">
        <v>9</v>
      </c>
      <c r="E3" s="5">
        <v>68497.757342013356</v>
      </c>
    </row>
    <row r="4" spans="1:5">
      <c r="A4" s="26">
        <v>46267</v>
      </c>
      <c r="B4" s="25">
        <v>3.5402487100000002</v>
      </c>
      <c r="C4" s="31">
        <f t="shared" si="0"/>
        <v>-0.99727371031195</v>
      </c>
      <c r="D4" s="25" t="s">
        <v>10</v>
      </c>
      <c r="E4" s="6">
        <v>85928.931135131905</v>
      </c>
    </row>
    <row r="5" spans="1:5">
      <c r="A5" s="26">
        <v>46266</v>
      </c>
      <c r="B5" s="25">
        <v>15.709117340000001</v>
      </c>
      <c r="C5" s="31">
        <f t="shared" si="0"/>
        <v>1028.4103166122507</v>
      </c>
      <c r="D5" s="25" t="s">
        <v>30</v>
      </c>
      <c r="E5" s="6">
        <v>22227.4775024345</v>
      </c>
    </row>
    <row r="6" spans="1:5">
      <c r="A6" s="26">
        <v>46265</v>
      </c>
      <c r="B6" s="25">
        <v>5762.0866222900004</v>
      </c>
      <c r="C6" s="31">
        <f t="shared" si="0"/>
        <v>-0.98760095272084658</v>
      </c>
      <c r="D6" t="s">
        <v>31</v>
      </c>
      <c r="E6" s="6">
        <v>24565.759999999998</v>
      </c>
    </row>
    <row r="7" spans="1:5">
      <c r="A7" s="26">
        <v>46262</v>
      </c>
      <c r="B7" s="25">
        <v>5.5974634500000002</v>
      </c>
      <c r="C7" s="31">
        <f t="shared" si="0"/>
        <v>98.812318362183703</v>
      </c>
      <c r="D7" t="s">
        <v>32</v>
      </c>
      <c r="E7" s="6">
        <v>10177.18</v>
      </c>
    </row>
    <row r="8" spans="1:5">
      <c r="A8" s="26">
        <v>46261</v>
      </c>
      <c r="B8" s="25">
        <v>451.44302815999998</v>
      </c>
      <c r="C8" s="31">
        <f t="shared" si="0"/>
        <v>-0.9864837734804992</v>
      </c>
      <c r="D8" t="s">
        <v>36</v>
      </c>
      <c r="E8" s="35">
        <v>15136.68</v>
      </c>
    </row>
    <row r="9" spans="1:5">
      <c r="A9" s="26">
        <v>46260</v>
      </c>
      <c r="B9" s="25">
        <v>4.5229189700000001</v>
      </c>
      <c r="C9" s="31">
        <f t="shared" si="0"/>
        <v>74.639780601233326</v>
      </c>
    </row>
    <row r="10" spans="1:5">
      <c r="A10" s="26">
        <v>46259</v>
      </c>
      <c r="B10" s="25">
        <v>334.62882287999997</v>
      </c>
      <c r="C10" s="31">
        <f t="shared" si="0"/>
        <v>-0.96494750708048294</v>
      </c>
    </row>
    <row r="11" spans="1:5">
      <c r="A11" s="26">
        <v>46256</v>
      </c>
      <c r="B11" s="25">
        <v>4.4239792900000001</v>
      </c>
      <c r="C11" s="31">
        <f t="shared" si="0"/>
        <v>71.190985743560688</v>
      </c>
    </row>
    <row r="12" spans="1:5">
      <c r="A12" s="26">
        <v>46255</v>
      </c>
      <c r="B12" s="25">
        <v>126.21011864</v>
      </c>
      <c r="C12" s="31">
        <f t="shared" si="0"/>
        <v>-5.8184422793468707E-2</v>
      </c>
    </row>
    <row r="13" spans="1:5">
      <c r="A13" s="26">
        <v>46254</v>
      </c>
      <c r="B13" s="25">
        <v>1.7482808599999999</v>
      </c>
      <c r="C13" s="31">
        <f t="shared" si="0"/>
        <v>2.7977445325652688E-3</v>
      </c>
    </row>
    <row r="14" spans="1:5">
      <c r="A14" s="26">
        <v>46253</v>
      </c>
      <c r="B14" s="25">
        <v>1.8562879000000001</v>
      </c>
      <c r="C14" s="31">
        <f t="shared" si="0"/>
        <v>-0.85226798513183877</v>
      </c>
    </row>
    <row r="15" spans="1:5">
      <c r="A15" s="26">
        <v>46252</v>
      </c>
      <c r="B15" s="25">
        <v>1.8511089700000001</v>
      </c>
      <c r="C15" s="31">
        <f t="shared" si="0"/>
        <v>1.9051656117130662</v>
      </c>
    </row>
    <row r="16" spans="1:5">
      <c r="A16" s="26">
        <v>46251</v>
      </c>
      <c r="B16" s="25">
        <v>12.53018157</v>
      </c>
      <c r="C16" s="31">
        <f t="shared" si="0"/>
        <v>0.67644958648237985</v>
      </c>
    </row>
    <row r="17" spans="1:3">
      <c r="A17" s="26">
        <v>46248</v>
      </c>
      <c r="B17" s="25">
        <v>4.3130696300000002</v>
      </c>
      <c r="C17" s="31">
        <f t="shared" si="0"/>
        <v>7.9800987331472867E-2</v>
      </c>
    </row>
    <row r="18" spans="1:3">
      <c r="A18" s="26">
        <v>46247</v>
      </c>
      <c r="B18" s="25">
        <v>2.5727404300000001</v>
      </c>
      <c r="C18" s="31">
        <f t="shared" si="0"/>
        <v>-0.998836660607344</v>
      </c>
    </row>
    <row r="19" spans="1:3">
      <c r="A19" s="26">
        <v>46246</v>
      </c>
      <c r="B19" s="25">
        <v>2.3826061100000002</v>
      </c>
      <c r="C19" s="31">
        <f t="shared" si="0"/>
        <v>493.39746561225513</v>
      </c>
    </row>
    <row r="20" spans="1:3">
      <c r="A20" s="26">
        <v>46245</v>
      </c>
      <c r="B20" s="25">
        <v>2048.0748137999999</v>
      </c>
      <c r="C20" s="31">
        <f t="shared" si="0"/>
        <v>-0.99973486131357592</v>
      </c>
    </row>
    <row r="21" spans="1:3">
      <c r="A21" s="26">
        <v>46244</v>
      </c>
      <c r="B21" s="25">
        <v>4.14256738</v>
      </c>
      <c r="C21" s="31">
        <f t="shared" si="0"/>
        <v>4796.873754983676</v>
      </c>
    </row>
    <row r="22" spans="1:3">
      <c r="A22" s="26">
        <v>46241</v>
      </c>
      <c r="B22" s="25">
        <v>15624.152913600001</v>
      </c>
      <c r="C22" s="31">
        <f t="shared" si="0"/>
        <v>0.15942681787904545</v>
      </c>
    </row>
    <row r="23" spans="1:3">
      <c r="A23" s="26">
        <v>46240</v>
      </c>
      <c r="B23" s="25">
        <v>3.2564743699999998</v>
      </c>
      <c r="C23" s="31">
        <f t="shared" si="0"/>
        <v>-0.99437447438816284</v>
      </c>
    </row>
    <row r="24" spans="1:3">
      <c r="A24" s="26">
        <v>46239</v>
      </c>
      <c r="B24" s="25">
        <v>2.8086933300000001</v>
      </c>
      <c r="C24" s="31">
        <f t="shared" ref="C24:C67" si="1">+((B25-B26)/B26)</f>
        <v>75.11816589074563</v>
      </c>
    </row>
    <row r="25" spans="1:3">
      <c r="A25" s="26">
        <v>46238</v>
      </c>
      <c r="B25" s="25">
        <v>499.27660521000001</v>
      </c>
      <c r="C25" s="31">
        <f t="shared" si="1"/>
        <v>-0.99966330474421161</v>
      </c>
    </row>
    <row r="26" spans="1:3">
      <c r="A26" s="26">
        <v>46237</v>
      </c>
      <c r="B26" s="25">
        <v>6.5592306300000001</v>
      </c>
      <c r="C26" s="31">
        <f t="shared" si="1"/>
        <v>40.77506746658235</v>
      </c>
    </row>
    <row r="27" spans="1:3">
      <c r="A27" s="26">
        <v>46234</v>
      </c>
      <c r="B27" s="25">
        <v>19481.20894855</v>
      </c>
      <c r="C27" s="31">
        <f t="shared" si="1"/>
        <v>3.5918026507549188</v>
      </c>
    </row>
    <row r="28" spans="1:3">
      <c r="A28" s="26">
        <v>46233</v>
      </c>
      <c r="B28">
        <v>466.33578662999997</v>
      </c>
      <c r="C28" s="31">
        <f t="shared" si="1"/>
        <v>22.269067927747528</v>
      </c>
    </row>
    <row r="29" spans="1:3">
      <c r="A29" s="26">
        <v>46232</v>
      </c>
      <c r="B29" s="25">
        <v>101.55832515</v>
      </c>
      <c r="C29" s="31">
        <f t="shared" si="1"/>
        <v>-0.98047278251084946</v>
      </c>
    </row>
    <row r="30" spans="1:3">
      <c r="A30" s="26">
        <v>46231</v>
      </c>
      <c r="B30" s="25">
        <v>4.3645205499999999</v>
      </c>
      <c r="C30" s="31">
        <f t="shared" si="1"/>
        <v>-0.99220607504587943</v>
      </c>
    </row>
    <row r="31" spans="1:3">
      <c r="A31" s="26">
        <v>46108</v>
      </c>
      <c r="B31" s="25">
        <v>223.50959897000001</v>
      </c>
      <c r="C31" s="31">
        <f t="shared" si="1"/>
        <v>32.413800410299046</v>
      </c>
    </row>
    <row r="32" spans="1:3">
      <c r="A32" s="26">
        <v>46226</v>
      </c>
      <c r="B32" s="25">
        <v>28677.412251940001</v>
      </c>
      <c r="C32" s="31">
        <f t="shared" si="1"/>
        <v>41.77708649767068</v>
      </c>
    </row>
    <row r="33" spans="1:3">
      <c r="A33" s="26">
        <v>46225</v>
      </c>
      <c r="B33" s="25">
        <v>858.25054019000004</v>
      </c>
      <c r="C33" s="31">
        <f t="shared" si="1"/>
        <v>-0.99734079323279778</v>
      </c>
    </row>
    <row r="34" spans="1:3">
      <c r="A34" s="26">
        <v>46224</v>
      </c>
      <c r="B34" s="25">
        <v>20.063323860000001</v>
      </c>
      <c r="C34" s="31">
        <f t="shared" si="1"/>
        <v>-0.54491271467140989</v>
      </c>
    </row>
    <row r="35" spans="1:3">
      <c r="A35" s="26">
        <v>46220</v>
      </c>
      <c r="B35" s="25">
        <v>7544.8528890099997</v>
      </c>
      <c r="C35" s="31">
        <f t="shared" si="1"/>
        <v>1.1008050673763534</v>
      </c>
    </row>
    <row r="36" spans="1:3">
      <c r="A36" s="26">
        <v>46219</v>
      </c>
      <c r="B36" s="25">
        <v>16578.913830919999</v>
      </c>
      <c r="C36" s="31">
        <f t="shared" si="1"/>
        <v>-0.79678113606112111</v>
      </c>
    </row>
    <row r="37" spans="1:3">
      <c r="A37" s="26">
        <v>46218</v>
      </c>
      <c r="B37" s="25">
        <v>7891.6954687400003</v>
      </c>
      <c r="C37" s="31">
        <f t="shared" si="1"/>
        <v>-0.25771272667553924</v>
      </c>
    </row>
    <row r="38" spans="1:3">
      <c r="A38" s="26">
        <v>46217</v>
      </c>
      <c r="B38" s="25">
        <v>38833.478919130001</v>
      </c>
      <c r="C38" s="31">
        <f t="shared" si="1"/>
        <v>-0.19048561913228002</v>
      </c>
    </row>
    <row r="39" spans="1:3">
      <c r="A39" s="26">
        <v>46216</v>
      </c>
      <c r="B39" s="25">
        <v>52315.97026473</v>
      </c>
      <c r="C39" s="31">
        <f t="shared" si="1"/>
        <v>1.2916911129109088</v>
      </c>
    </row>
    <row r="40" spans="1:3">
      <c r="A40" s="26">
        <v>46213</v>
      </c>
      <c r="B40" s="25">
        <v>64626.363040830001</v>
      </c>
      <c r="C40" s="31">
        <f t="shared" si="1"/>
        <v>2.65997178100841</v>
      </c>
    </row>
    <row r="41" spans="1:3">
      <c r="A41" s="26">
        <v>46212</v>
      </c>
      <c r="B41" s="25">
        <v>28200.29395617</v>
      </c>
      <c r="C41" s="31">
        <f t="shared" si="1"/>
        <v>0.84099979813836301</v>
      </c>
    </row>
    <row r="42" spans="1:3">
      <c r="A42" s="26">
        <v>46211</v>
      </c>
      <c r="B42" s="25">
        <v>7705.0577555</v>
      </c>
      <c r="C42" s="31">
        <f t="shared" si="1"/>
        <v>-0.5358672604044985</v>
      </c>
    </row>
    <row r="43" spans="1:3">
      <c r="A43" s="26">
        <v>46210</v>
      </c>
      <c r="B43" s="25">
        <v>4185.2572516800001</v>
      </c>
      <c r="C43" s="31">
        <f t="shared" si="1"/>
        <v>-0.47344417767330416</v>
      </c>
    </row>
    <row r="44" spans="1:3">
      <c r="A44" s="26">
        <v>46209</v>
      </c>
      <c r="B44" s="25">
        <v>9017.3713134900008</v>
      </c>
      <c r="C44" s="31">
        <f t="shared" si="1"/>
        <v>-0.39167454677290181</v>
      </c>
    </row>
    <row r="45" spans="1:3">
      <c r="A45" s="26">
        <v>46206</v>
      </c>
      <c r="B45" s="25">
        <v>17125.195337590001</v>
      </c>
      <c r="C45" s="31">
        <f t="shared" si="1"/>
        <v>27.450841046685248</v>
      </c>
    </row>
    <row r="46" spans="1:3">
      <c r="A46" s="26">
        <v>46205</v>
      </c>
      <c r="B46" s="25">
        <v>28151.370695969999</v>
      </c>
      <c r="C46" s="31">
        <f t="shared" si="1"/>
        <v>-0.82605795449481512</v>
      </c>
    </row>
    <row r="47" spans="1:3">
      <c r="A47" s="26">
        <v>46204</v>
      </c>
      <c r="B47" s="25">
        <v>989.47411254999997</v>
      </c>
      <c r="C47" s="31">
        <f t="shared" si="1"/>
        <v>-0.82035890094428965</v>
      </c>
    </row>
    <row r="48" spans="1:3">
      <c r="A48" s="26">
        <v>46203</v>
      </c>
      <c r="B48" s="25">
        <v>5688.5275189000004</v>
      </c>
      <c r="C48" s="31">
        <f t="shared" si="1"/>
        <v>12.096519032059602</v>
      </c>
    </row>
    <row r="49" spans="1:3">
      <c r="A49" s="26">
        <v>46198</v>
      </c>
      <c r="B49" s="25">
        <v>31666.069450710002</v>
      </c>
      <c r="C49" s="31">
        <f t="shared" si="1"/>
        <v>0.40878477030033311</v>
      </c>
    </row>
    <row r="50" spans="1:3">
      <c r="A50" s="26">
        <v>46196</v>
      </c>
      <c r="B50" s="25">
        <v>2417.8997009200002</v>
      </c>
      <c r="C50" s="31">
        <f t="shared" si="1"/>
        <v>103.40487339188886</v>
      </c>
    </row>
    <row r="51" spans="1:3">
      <c r="A51" s="26">
        <v>46195</v>
      </c>
      <c r="B51" s="25">
        <v>1716.30170335</v>
      </c>
      <c r="C51" s="31">
        <f t="shared" si="1"/>
        <v>-0.93907248343987781</v>
      </c>
    </row>
    <row r="52" spans="1:3">
      <c r="A52" s="26">
        <v>46192</v>
      </c>
      <c r="B52" s="25">
        <v>16.43890412</v>
      </c>
      <c r="C52" s="31">
        <f t="shared" si="1"/>
        <v>-0.88259974628484428</v>
      </c>
    </row>
    <row r="53" spans="1:3">
      <c r="A53" s="26">
        <v>46191</v>
      </c>
      <c r="B53" s="25">
        <v>269.81083503999997</v>
      </c>
      <c r="C53" s="31">
        <f t="shared" si="1"/>
        <v>0.90523755264044037</v>
      </c>
    </row>
    <row r="54" spans="1:3">
      <c r="A54" s="26">
        <v>46190</v>
      </c>
      <c r="B54" s="25">
        <v>2298.2133896800001</v>
      </c>
      <c r="C54" s="31">
        <f t="shared" si="1"/>
        <v>142.26137862232778</v>
      </c>
    </row>
    <row r="55" spans="1:3">
      <c r="A55" s="26">
        <v>46189</v>
      </c>
      <c r="B55" s="25">
        <v>1206.260808</v>
      </c>
      <c r="C55" s="31">
        <f t="shared" si="1"/>
        <v>-0.5604660313731078</v>
      </c>
    </row>
    <row r="56" spans="1:3">
      <c r="A56" s="26">
        <v>46188</v>
      </c>
      <c r="B56" s="25">
        <v>8.42</v>
      </c>
      <c r="C56" s="31">
        <f t="shared" si="1"/>
        <v>0.50703525245440206</v>
      </c>
    </row>
    <row r="57" spans="1:3">
      <c r="A57" s="26">
        <v>46185</v>
      </c>
      <c r="B57" s="25">
        <v>19.156653639999998</v>
      </c>
      <c r="C57" s="31">
        <f t="shared" si="1"/>
        <v>-0.99943660659465605</v>
      </c>
    </row>
    <row r="58" spans="1:3">
      <c r="A58" s="26">
        <v>46184</v>
      </c>
      <c r="B58" s="25">
        <v>12.711483429999999</v>
      </c>
      <c r="C58" s="31">
        <f t="shared" si="1"/>
        <v>5.2639483520141219</v>
      </c>
    </row>
    <row r="59" spans="1:3">
      <c r="A59" s="26">
        <v>46183</v>
      </c>
      <c r="B59" s="25">
        <v>22562.357509739999</v>
      </c>
      <c r="C59" s="31">
        <f t="shared" si="1"/>
        <v>-0.93820968147801931</v>
      </c>
    </row>
    <row r="60" spans="1:3">
      <c r="A60" s="26">
        <v>46182</v>
      </c>
      <c r="B60" s="25">
        <v>3601.9386242999999</v>
      </c>
      <c r="C60" s="31">
        <f t="shared" si="1"/>
        <v>5.2345136037951523</v>
      </c>
    </row>
    <row r="61" spans="1:3">
      <c r="A61" s="26">
        <v>46178</v>
      </c>
      <c r="B61" s="25">
        <v>58292.928576159997</v>
      </c>
      <c r="C61" s="31">
        <f t="shared" si="1"/>
        <v>1.8327551324816331</v>
      </c>
    </row>
    <row r="62" spans="1:3">
      <c r="A62" s="26">
        <v>46177</v>
      </c>
      <c r="B62" s="25">
        <v>9350.0363108799993</v>
      </c>
      <c r="C62" s="31">
        <f t="shared" si="1"/>
        <v>-0.88947445735006914</v>
      </c>
    </row>
    <row r="63" spans="1:3">
      <c r="A63" s="26">
        <v>46176</v>
      </c>
      <c r="B63" s="25">
        <v>3300.6863896099999</v>
      </c>
      <c r="C63" s="31">
        <f t="shared" si="1"/>
        <v>539.15459406063144</v>
      </c>
    </row>
    <row r="64" spans="1:3">
      <c r="A64" s="26">
        <v>46175</v>
      </c>
      <c r="B64" s="25">
        <v>29863.561946620001</v>
      </c>
      <c r="C64" s="31">
        <f t="shared" si="1"/>
        <v>-0.99834811895033015</v>
      </c>
    </row>
    <row r="65" spans="1:3">
      <c r="A65" s="26">
        <v>46174</v>
      </c>
      <c r="B65" s="25">
        <v>55.287064620000002</v>
      </c>
      <c r="C65" s="31">
        <f t="shared" si="1"/>
        <v>2.616728100871637</v>
      </c>
    </row>
    <row r="66" spans="1:3">
      <c r="A66" s="26">
        <v>46171</v>
      </c>
      <c r="B66" s="25">
        <v>33469.1560455</v>
      </c>
      <c r="C66" s="31">
        <f t="shared" si="1"/>
        <v>425.96466507526281</v>
      </c>
    </row>
    <row r="67" spans="1:3">
      <c r="A67" s="26">
        <v>45074</v>
      </c>
      <c r="B67" s="25">
        <v>9253.9873366299998</v>
      </c>
      <c r="C67" s="31">
        <f t="shared" si="1"/>
        <v>-0.99745431244335425</v>
      </c>
    </row>
    <row r="68" spans="1:3">
      <c r="A68" s="26">
        <v>46169</v>
      </c>
      <c r="B68" s="25">
        <v>21.673895040000001</v>
      </c>
      <c r="C68" s="31">
        <f>+((B69-B70)/B70)</f>
        <v>-0.31892665326814518</v>
      </c>
    </row>
    <row r="69" spans="1:3">
      <c r="A69" s="26">
        <v>46168</v>
      </c>
      <c r="B69" s="25">
        <v>8513.9651106900001</v>
      </c>
      <c r="C69" s="31">
        <f>+((B70-B71)/B71)</f>
        <v>-0.78753584478722383</v>
      </c>
    </row>
    <row r="70" spans="1:3">
      <c r="A70" s="26">
        <v>46167</v>
      </c>
      <c r="B70" s="25">
        <v>12500.80501835</v>
      </c>
      <c r="C70" s="31">
        <f>+((B71-B72)/B72)</f>
        <v>1063.8095709311931</v>
      </c>
    </row>
    <row r="71" spans="1:3">
      <c r="A71" s="26">
        <v>46164</v>
      </c>
      <c r="B71" s="25">
        <v>58837.242479</v>
      </c>
      <c r="C71" s="31">
        <f>+((B76-B77)/B77)</f>
        <v>82.182099964255912</v>
      </c>
    </row>
    <row r="72" spans="1:3">
      <c r="A72" s="26">
        <v>46163</v>
      </c>
      <c r="B72" s="25">
        <v>55.256117230000001</v>
      </c>
      <c r="C72" s="31">
        <f t="shared" ref="C72:C95" si="2">+((B77-B78)/B78)</f>
        <v>-0.96342609797465562</v>
      </c>
    </row>
    <row r="73" spans="1:3">
      <c r="A73" s="26">
        <v>46162</v>
      </c>
      <c r="B73" s="25">
        <v>20356.468143580001</v>
      </c>
      <c r="C73" s="31">
        <f t="shared" si="2"/>
        <v>-0.95811572537747924</v>
      </c>
    </row>
    <row r="74" spans="1:3">
      <c r="A74" s="26">
        <v>46161</v>
      </c>
      <c r="B74" s="25">
        <v>72301.933723569993</v>
      </c>
      <c r="C74" s="31">
        <f t="shared" si="2"/>
        <v>-0.32064889280191988</v>
      </c>
    </row>
    <row r="75" spans="1:3">
      <c r="A75" s="26">
        <v>46157</v>
      </c>
      <c r="B75" s="25">
        <v>74209.813271849998</v>
      </c>
      <c r="C75" s="31">
        <f t="shared" si="2"/>
        <v>178.18998455533497</v>
      </c>
    </row>
    <row r="76" spans="1:3">
      <c r="A76" s="26">
        <v>46156</v>
      </c>
      <c r="B76" s="25">
        <v>2047.5163407099999</v>
      </c>
      <c r="C76" s="31">
        <f t="shared" si="2"/>
        <v>-0.82294618034282907</v>
      </c>
    </row>
    <row r="77" spans="1:3">
      <c r="A77" s="26">
        <v>46155</v>
      </c>
      <c r="B77" s="25">
        <v>24.614867159999999</v>
      </c>
      <c r="C77" s="31">
        <f t="shared" si="2"/>
        <v>-0.99115816107458954</v>
      </c>
    </row>
    <row r="78" spans="1:3">
      <c r="A78" s="26">
        <v>46154</v>
      </c>
      <c r="B78" s="25">
        <v>673.01725538999995</v>
      </c>
      <c r="C78" s="31">
        <f t="shared" si="2"/>
        <v>0.70107388483787059</v>
      </c>
    </row>
    <row r="79" spans="1:3">
      <c r="A79" s="26">
        <v>46153</v>
      </c>
      <c r="B79" s="25">
        <v>16068.49495319</v>
      </c>
      <c r="C79" s="31">
        <f t="shared" si="2"/>
        <v>-0.43255825515735763</v>
      </c>
    </row>
    <row r="80" spans="1:3">
      <c r="A80" s="26">
        <v>46150</v>
      </c>
      <c r="B80" s="25">
        <v>23652.710333340001</v>
      </c>
      <c r="C80" s="31">
        <f t="shared" si="2"/>
        <v>2.0773664296544805</v>
      </c>
    </row>
    <row r="81" spans="1:3">
      <c r="A81" s="24">
        <v>46149</v>
      </c>
      <c r="B81" s="23">
        <v>131.99794839</v>
      </c>
      <c r="C81" s="31">
        <f t="shared" si="2"/>
        <v>-0.59636256133262866</v>
      </c>
    </row>
    <row r="82" spans="1:3">
      <c r="A82" s="19">
        <v>46148</v>
      </c>
      <c r="B82" s="17">
        <v>745.52443231999996</v>
      </c>
      <c r="C82" s="31">
        <f t="shared" si="2"/>
        <v>0.74333012643706198</v>
      </c>
    </row>
    <row r="83" spans="1:3">
      <c r="A83" s="19">
        <v>46147</v>
      </c>
      <c r="B83" s="17">
        <v>84317.802960360001</v>
      </c>
      <c r="C83" s="31">
        <f t="shared" si="2"/>
        <v>-0.33842006324553126</v>
      </c>
    </row>
    <row r="84" spans="1:3">
      <c r="A84" s="19">
        <v>46146</v>
      </c>
      <c r="B84" s="17">
        <v>49567.396050169998</v>
      </c>
      <c r="C84" s="31">
        <f t="shared" si="2"/>
        <v>12.106463903543759</v>
      </c>
    </row>
    <row r="85" spans="1:3">
      <c r="A85" s="20">
        <v>46142</v>
      </c>
      <c r="B85" s="17">
        <v>87352.396084139997</v>
      </c>
      <c r="C85" s="31">
        <f t="shared" si="2"/>
        <v>-0.73032401489373799</v>
      </c>
    </row>
    <row r="86" spans="1:3">
      <c r="A86" s="20">
        <v>46141</v>
      </c>
      <c r="B86" s="17">
        <v>28385.438679769999</v>
      </c>
      <c r="C86" s="31">
        <f t="shared" si="2"/>
        <v>-0.64046760511667533</v>
      </c>
    </row>
    <row r="87" spans="1:3">
      <c r="A87" s="20">
        <v>46140</v>
      </c>
      <c r="B87" s="17">
        <v>70324.097718699995</v>
      </c>
      <c r="C87" s="31">
        <f t="shared" si="2"/>
        <v>-6.5402088492716129E-2</v>
      </c>
    </row>
    <row r="88" spans="1:3">
      <c r="A88" s="20">
        <v>46139</v>
      </c>
      <c r="B88" s="17">
        <v>40338.944788629997</v>
      </c>
      <c r="C88" s="31">
        <f t="shared" si="2"/>
        <v>1.9819948129202027</v>
      </c>
    </row>
    <row r="89" spans="1:3">
      <c r="A89" s="20">
        <v>46136</v>
      </c>
      <c r="B89" s="17">
        <v>60973.651931649998</v>
      </c>
      <c r="C89" s="31">
        <f t="shared" si="2"/>
        <v>910.40237411852581</v>
      </c>
    </row>
    <row r="90" spans="1:3">
      <c r="A90" s="20">
        <v>46135</v>
      </c>
      <c r="B90" s="17">
        <v>4652.1817311200002</v>
      </c>
      <c r="C90" s="31">
        <f t="shared" si="2"/>
        <v>0.19572063797541306</v>
      </c>
    </row>
    <row r="91" spans="1:3">
      <c r="A91" s="20">
        <v>46134</v>
      </c>
      <c r="B91" s="17">
        <v>17251.00486529</v>
      </c>
      <c r="C91" s="31">
        <f t="shared" si="2"/>
        <v>-2.5764893835585476E-2</v>
      </c>
    </row>
    <row r="92" spans="1:3">
      <c r="A92" s="20">
        <v>46133</v>
      </c>
      <c r="B92" s="17">
        <v>47981.781644150004</v>
      </c>
      <c r="C92" s="31">
        <f t="shared" si="2"/>
        <v>-0.99344926580920656</v>
      </c>
    </row>
    <row r="93" spans="1:3">
      <c r="A93" s="20">
        <v>46132</v>
      </c>
      <c r="B93" s="17">
        <v>51339.49161813</v>
      </c>
      <c r="C93" s="31">
        <f t="shared" si="2"/>
        <v>-0.68887087467151309</v>
      </c>
    </row>
    <row r="94" spans="1:3">
      <c r="A94" s="20">
        <v>46129</v>
      </c>
      <c r="B94" s="17">
        <v>17216.492596060001</v>
      </c>
      <c r="C94" s="31">
        <f t="shared" si="2"/>
        <v>190.54886991293833</v>
      </c>
    </row>
    <row r="95" spans="1:3">
      <c r="A95" s="20">
        <v>46128</v>
      </c>
      <c r="B95" s="17">
        <v>18.890111640000001</v>
      </c>
      <c r="C95" s="31">
        <f t="shared" si="2"/>
        <v>-0.92845434694034024</v>
      </c>
    </row>
    <row r="96" spans="1:3">
      <c r="A96" s="20">
        <v>46127</v>
      </c>
      <c r="B96" s="17">
        <v>15.79809785</v>
      </c>
      <c r="C96" s="16">
        <v>0</v>
      </c>
    </row>
    <row r="97" spans="1:3">
      <c r="A97" s="20">
        <v>46126</v>
      </c>
      <c r="B97" s="17">
        <v>16.215898760000002</v>
      </c>
      <c r="C97" s="16">
        <v>0</v>
      </c>
    </row>
    <row r="98" spans="1:3">
      <c r="A98" s="20">
        <v>46125</v>
      </c>
      <c r="B98" s="17">
        <v>2475.4322626600001</v>
      </c>
      <c r="C98" s="16">
        <v>0</v>
      </c>
    </row>
    <row r="99" spans="1:3">
      <c r="A99" s="20">
        <v>46122</v>
      </c>
      <c r="B99" s="17">
        <v>7956.2858669899997</v>
      </c>
      <c r="C99" s="16">
        <v>0</v>
      </c>
    </row>
    <row r="100" spans="1:3">
      <c r="A100" s="20">
        <v>46121</v>
      </c>
      <c r="B100" s="17">
        <v>41.536584740000002</v>
      </c>
      <c r="C100" s="16">
        <v>0</v>
      </c>
    </row>
    <row r="101" spans="1:3">
      <c r="A101" s="20">
        <v>46120</v>
      </c>
      <c r="B101" s="17">
        <v>580.56056466999996</v>
      </c>
      <c r="C101" s="16">
        <v>0</v>
      </c>
    </row>
    <row r="102" spans="1:3">
      <c r="A102" s="20">
        <v>46119</v>
      </c>
      <c r="B102" s="17">
        <v>116.97186189</v>
      </c>
    </row>
    <row r="103" spans="1:3">
      <c r="A103" s="20">
        <v>46118</v>
      </c>
      <c r="B103" s="17">
        <v>6972.36861443</v>
      </c>
    </row>
    <row r="104" spans="1:3">
      <c r="A104" s="20">
        <v>46113</v>
      </c>
      <c r="B104" s="17">
        <v>540.00852741999995</v>
      </c>
    </row>
    <row r="105" spans="1:3">
      <c r="A105" s="20">
        <v>46112</v>
      </c>
      <c r="B105" s="17">
        <v>5262.3389565099997</v>
      </c>
    </row>
    <row r="106" spans="1:3">
      <c r="A106" s="20">
        <v>46111</v>
      </c>
      <c r="B106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30</v>
      </c>
      <c r="B2" s="18">
        <v>98931.490865999993</v>
      </c>
      <c r="C2" s="1">
        <v>4946.5745432999993</v>
      </c>
      <c r="D2" s="8">
        <v>64.09</v>
      </c>
    </row>
    <row r="3" spans="1:7" ht="15">
      <c r="A3" t="s">
        <v>31</v>
      </c>
      <c r="B3" s="18">
        <v>251306.31</v>
      </c>
      <c r="C3" s="18">
        <v>13226.65</v>
      </c>
      <c r="D3">
        <v>188.96</v>
      </c>
      <c r="G3" s="34" t="s">
        <v>33</v>
      </c>
    </row>
    <row r="4" spans="1:7" ht="15">
      <c r="A4" t="s">
        <v>32</v>
      </c>
      <c r="B4" s="18">
        <v>254788.61</v>
      </c>
      <c r="C4" s="18">
        <v>13409.93</v>
      </c>
      <c r="D4" s="7">
        <v>245.29</v>
      </c>
      <c r="G4" s="34" t="s">
        <v>34</v>
      </c>
    </row>
    <row r="5" spans="1:7" ht="15">
      <c r="A5" s="25" t="s">
        <v>36</v>
      </c>
      <c r="B5" s="18">
        <v>40192.65</v>
      </c>
      <c r="C5" s="18">
        <v>1826.94</v>
      </c>
      <c r="D5" s="7">
        <v>81.88</v>
      </c>
      <c r="G5" s="34" t="s">
        <v>35</v>
      </c>
    </row>
    <row r="6" spans="1:7">
      <c r="A6" t="s">
        <v>37</v>
      </c>
      <c r="B6" s="18">
        <v>10939.03</v>
      </c>
      <c r="C6" s="7">
        <v>114.604064152492</v>
      </c>
      <c r="D6" s="7">
        <v>114.604064152492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topLeftCell="A10" workbookViewId="0">
      <selection activeCell="C24" sqref="C24:C25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5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  <row r="23" spans="1:3" ht="15" thickBot="1">
      <c r="A23" s="26">
        <v>46227</v>
      </c>
      <c r="B23" s="18">
        <v>1468051657.5950301</v>
      </c>
      <c r="C23" s="4">
        <f t="shared" si="0"/>
        <v>5.1155857430162772</v>
      </c>
    </row>
    <row r="24" spans="1:3" ht="15" thickBot="1">
      <c r="A24" s="26">
        <v>46255</v>
      </c>
      <c r="B24" s="18">
        <v>1588746455.7100201</v>
      </c>
      <c r="C24" s="4">
        <f t="shared" si="0"/>
        <v>8.2214271882443732</v>
      </c>
    </row>
    <row r="25" spans="1:3" ht="15" thickBot="1">
      <c r="A25" s="26">
        <v>46293</v>
      </c>
      <c r="B25" s="18">
        <v>1616236987.2485399</v>
      </c>
      <c r="C25" s="4">
        <f t="shared" si="0"/>
        <v>1.730328425893116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workbookViewId="0">
      <selection activeCell="A24" sqref="A24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  <row r="21" spans="1:8">
      <c r="A21" s="26">
        <v>46241</v>
      </c>
      <c r="B21" s="18">
        <v>74588465.34969002</v>
      </c>
      <c r="C21" s="18">
        <v>2167193538.7617316</v>
      </c>
      <c r="D21" s="18">
        <v>198439181.48875651</v>
      </c>
      <c r="E21" s="18">
        <v>2440221185.6001782</v>
      </c>
      <c r="F21" s="18">
        <v>2971243.6223900001</v>
      </c>
      <c r="G21" s="18">
        <v>2443192429.222568</v>
      </c>
      <c r="H21" s="28">
        <v>-0.96286179667246508</v>
      </c>
    </row>
    <row r="22" spans="1:8">
      <c r="A22" s="26">
        <v>46248</v>
      </c>
      <c r="B22" s="18">
        <v>74239926.334400013</v>
      </c>
      <c r="C22" s="18">
        <v>2163040890.6203313</v>
      </c>
      <c r="D22" s="18">
        <v>208734334.00143653</v>
      </c>
      <c r="E22" s="18">
        <v>2446015150.9561682</v>
      </c>
      <c r="F22" s="18">
        <v>2159689.0630499991</v>
      </c>
      <c r="G22" s="18">
        <v>2448174840.0192175</v>
      </c>
      <c r="H22" s="28">
        <v>0.2039303469123297</v>
      </c>
    </row>
    <row r="23" spans="1:8">
      <c r="A23" s="26">
        <v>46255</v>
      </c>
      <c r="B23" s="18">
        <v>76026162.824400008</v>
      </c>
      <c r="C23" s="18">
        <v>2297157294.4069014</v>
      </c>
      <c r="D23" s="18">
        <v>212317214.11852658</v>
      </c>
      <c r="E23" s="18">
        <v>2585500671.3498278</v>
      </c>
      <c r="F23" s="18">
        <v>2182911.8923299997</v>
      </c>
      <c r="G23" s="18">
        <v>2587683583.2421579</v>
      </c>
      <c r="H23" s="28">
        <v>5.6984795751697845</v>
      </c>
    </row>
    <row r="24" spans="1:8">
      <c r="A24" s="26">
        <v>46293</v>
      </c>
      <c r="B24" s="18">
        <v>78436320.980450019</v>
      </c>
      <c r="C24" s="18">
        <v>2368853653.2673907</v>
      </c>
      <c r="D24" s="18">
        <v>221939034.59143993</v>
      </c>
      <c r="E24" s="18">
        <v>2669229008.8392806</v>
      </c>
      <c r="F24" s="18">
        <v>2363869.91811</v>
      </c>
      <c r="G24" s="18">
        <v>2671592878.7573905</v>
      </c>
      <c r="H24" s="28">
        <v>3.2456431709609603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4"/>
  <sheetViews>
    <sheetView topLeftCell="A73" workbookViewId="0">
      <selection activeCell="A95" sqref="A95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  <row r="76" spans="1:6">
      <c r="A76" s="26">
        <v>46244</v>
      </c>
      <c r="B76" s="27">
        <v>13237</v>
      </c>
      <c r="C76" s="25">
        <v>3</v>
      </c>
      <c r="D76" s="27">
        <v>13240</v>
      </c>
      <c r="E76" s="32">
        <f t="shared" ref="E76:E94" si="4">+((D76-D75)/D75)</f>
        <v>-2.185545255859522E-3</v>
      </c>
      <c r="F76" s="33">
        <v>0.22</v>
      </c>
    </row>
    <row r="77" spans="1:6">
      <c r="A77" s="26">
        <v>46245</v>
      </c>
      <c r="B77" s="27">
        <v>13220</v>
      </c>
      <c r="C77" s="25">
        <v>3</v>
      </c>
      <c r="D77" s="27">
        <v>13223</v>
      </c>
      <c r="E77" s="32">
        <f t="shared" si="4"/>
        <v>-1.2839879154078551E-3</v>
      </c>
      <c r="F77" s="33">
        <v>-0.13</v>
      </c>
    </row>
    <row r="78" spans="1:6">
      <c r="A78" s="26">
        <v>46246</v>
      </c>
      <c r="B78" s="27">
        <v>13231</v>
      </c>
      <c r="C78" s="25">
        <v>3</v>
      </c>
      <c r="D78" s="27">
        <v>13234</v>
      </c>
      <c r="E78" s="32">
        <f t="shared" si="4"/>
        <v>8.3188383876578692E-4</v>
      </c>
      <c r="F78" s="33">
        <v>0.08</v>
      </c>
    </row>
    <row r="79" spans="1:6">
      <c r="A79" s="26">
        <v>46247</v>
      </c>
      <c r="B79" s="27">
        <v>13147</v>
      </c>
      <c r="C79" s="25">
        <v>3</v>
      </c>
      <c r="D79" s="27">
        <v>13150</v>
      </c>
      <c r="E79" s="32">
        <f t="shared" si="4"/>
        <v>-6.3472872903128303E-3</v>
      </c>
      <c r="F79" s="33">
        <v>-0.63</v>
      </c>
    </row>
    <row r="80" spans="1:6">
      <c r="A80" s="26">
        <v>46248</v>
      </c>
      <c r="B80" s="27">
        <v>13019</v>
      </c>
      <c r="C80" s="25">
        <v>3</v>
      </c>
      <c r="D80" s="27">
        <v>13022</v>
      </c>
      <c r="E80" s="32">
        <f t="shared" si="4"/>
        <v>-9.7338403041825096E-3</v>
      </c>
      <c r="F80" s="33">
        <v>-97</v>
      </c>
    </row>
    <row r="81" spans="1:6">
      <c r="A81" s="26">
        <v>46251</v>
      </c>
      <c r="B81" s="27">
        <v>13022</v>
      </c>
      <c r="C81" s="25">
        <v>3</v>
      </c>
      <c r="D81" s="27">
        <v>13025</v>
      </c>
      <c r="E81" s="32">
        <f t="shared" si="4"/>
        <v>2.3037935800952235E-4</v>
      </c>
      <c r="F81" s="33">
        <v>0.02</v>
      </c>
    </row>
    <row r="82" spans="1:6">
      <c r="A82" s="26">
        <v>46252</v>
      </c>
      <c r="B82" s="27">
        <v>13431</v>
      </c>
      <c r="C82" s="25">
        <v>3</v>
      </c>
      <c r="D82" s="27">
        <v>13434</v>
      </c>
      <c r="E82" s="32">
        <f t="shared" si="4"/>
        <v>3.1401151631477928E-2</v>
      </c>
      <c r="F82" s="33">
        <v>3.14</v>
      </c>
    </row>
    <row r="83" spans="1:6">
      <c r="A83" s="26">
        <v>46253</v>
      </c>
      <c r="B83" s="27">
        <v>13323</v>
      </c>
      <c r="C83" s="25">
        <v>3</v>
      </c>
      <c r="D83" s="27">
        <v>13326</v>
      </c>
      <c r="E83" s="32">
        <f t="shared" si="4"/>
        <v>-8.0393032603841008E-3</v>
      </c>
      <c r="F83" s="33">
        <v>-0.8</v>
      </c>
    </row>
    <row r="84" spans="1:6">
      <c r="A84" s="26">
        <v>46254</v>
      </c>
      <c r="B84" s="27">
        <v>13436</v>
      </c>
      <c r="C84" s="25">
        <v>3</v>
      </c>
      <c r="D84" s="27">
        <v>13439</v>
      </c>
      <c r="E84" s="32">
        <f t="shared" si="4"/>
        <v>8.4796638150983032E-3</v>
      </c>
      <c r="F84" s="33">
        <v>85</v>
      </c>
    </row>
    <row r="85" spans="1:6">
      <c r="A85" s="26">
        <v>46255</v>
      </c>
      <c r="B85" s="27">
        <v>13379</v>
      </c>
      <c r="C85" s="25">
        <v>3</v>
      </c>
      <c r="D85" s="27">
        <v>13382</v>
      </c>
      <c r="E85" s="32">
        <f t="shared" si="4"/>
        <v>-4.2413870079619021E-3</v>
      </c>
      <c r="F85" s="33">
        <v>-0.42</v>
      </c>
    </row>
    <row r="86" spans="1:6">
      <c r="A86" s="26">
        <v>46258</v>
      </c>
      <c r="B86" s="27">
        <v>13352</v>
      </c>
      <c r="C86" s="25">
        <v>3</v>
      </c>
      <c r="D86" s="27">
        <v>13355</v>
      </c>
      <c r="E86" s="32">
        <f t="shared" si="4"/>
        <v>-2.01763562995068E-3</v>
      </c>
      <c r="F86" s="33">
        <v>-0.20300000000000001</v>
      </c>
    </row>
    <row r="87" spans="1:6">
      <c r="A87" s="26">
        <v>46259</v>
      </c>
      <c r="B87" s="27">
        <v>13205</v>
      </c>
      <c r="C87" s="25">
        <v>3</v>
      </c>
      <c r="D87" s="27">
        <v>13208</v>
      </c>
      <c r="E87" s="32">
        <f t="shared" si="4"/>
        <v>-1.1007113440658928E-2</v>
      </c>
      <c r="F87" s="33">
        <v>-1.1000000000000001</v>
      </c>
    </row>
    <row r="88" spans="1:6">
      <c r="A88" s="26">
        <v>46260</v>
      </c>
      <c r="B88" s="27">
        <v>13147</v>
      </c>
      <c r="C88" s="25">
        <v>3</v>
      </c>
      <c r="D88" s="27">
        <v>13150</v>
      </c>
      <c r="E88" s="32">
        <f t="shared" si="4"/>
        <v>-4.3912780133252578E-3</v>
      </c>
      <c r="F88" s="33">
        <v>-4.4400000000000004</v>
      </c>
    </row>
    <row r="89" spans="1:6">
      <c r="A89" s="26">
        <v>46261</v>
      </c>
      <c r="B89" s="27">
        <v>13053</v>
      </c>
      <c r="C89" s="25">
        <v>3</v>
      </c>
      <c r="D89" s="27">
        <v>13056</v>
      </c>
      <c r="E89" s="32">
        <f t="shared" si="4"/>
        <v>-7.1482889733840305E-3</v>
      </c>
      <c r="F89" s="33">
        <v>-0.71</v>
      </c>
    </row>
    <row r="90" spans="1:6">
      <c r="A90" s="26">
        <v>46262</v>
      </c>
      <c r="B90" s="27">
        <v>13360</v>
      </c>
      <c r="C90" s="25">
        <v>3</v>
      </c>
      <c r="D90" s="27">
        <v>13363</v>
      </c>
      <c r="E90" s="32">
        <f t="shared" si="4"/>
        <v>2.3514093137254902E-2</v>
      </c>
      <c r="F90" s="33">
        <v>2.35</v>
      </c>
    </row>
    <row r="91" spans="1:6">
      <c r="A91" s="26">
        <v>46265</v>
      </c>
      <c r="B91" s="27">
        <v>13285</v>
      </c>
      <c r="C91" s="25">
        <v>3</v>
      </c>
      <c r="D91" s="27">
        <v>13288</v>
      </c>
      <c r="E91" s="32">
        <f t="shared" si="4"/>
        <v>-5.612512160443014E-3</v>
      </c>
      <c r="F91" s="33">
        <v>-0.56000000000000005</v>
      </c>
    </row>
    <row r="92" spans="1:6">
      <c r="A92" s="26">
        <v>46266</v>
      </c>
      <c r="B92" s="27">
        <v>12895</v>
      </c>
      <c r="C92" s="25">
        <v>3</v>
      </c>
      <c r="D92" s="27">
        <v>12898</v>
      </c>
      <c r="E92" s="32">
        <f t="shared" si="4"/>
        <v>-2.9349789283564118E-2</v>
      </c>
      <c r="F92" s="33">
        <v>-2.93</v>
      </c>
    </row>
    <row r="93" spans="1:6">
      <c r="A93" s="26">
        <v>46267</v>
      </c>
      <c r="B93" s="27">
        <v>12709</v>
      </c>
      <c r="C93" s="25">
        <v>3</v>
      </c>
      <c r="D93" s="27">
        <v>12712</v>
      </c>
      <c r="E93" s="32">
        <f t="shared" si="4"/>
        <v>-1.4420840440378353E-2</v>
      </c>
      <c r="F93" s="33">
        <v>-1.44</v>
      </c>
    </row>
    <row r="94" spans="1:6">
      <c r="A94" s="26">
        <v>46268</v>
      </c>
      <c r="B94" s="27">
        <v>12864</v>
      </c>
      <c r="C94" s="25">
        <v>3</v>
      </c>
      <c r="D94" s="27">
        <v>12867</v>
      </c>
      <c r="E94" s="32">
        <f t="shared" si="4"/>
        <v>1.2193203272498426E-2</v>
      </c>
      <c r="F94" s="33">
        <v>1.22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2026-09-07T12:47:20Z</dcterms:modified>
</cp:coreProperties>
</file>