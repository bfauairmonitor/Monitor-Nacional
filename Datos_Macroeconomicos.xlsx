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10800" windowHeight="10140" tabRatio="819" activeTab="5"/>
  </bookViews>
  <sheets>
    <sheet name="Tasa Overnight Diaria" sheetId="1" r:id="rId1"/>
    <sheet name="Reservas Bancarias Excedentari" sheetId="2" r:id="rId2"/>
    <sheet name="Tasa Overnight Mensual" sheetId="3" r:id="rId3"/>
    <sheet name="Base Monetaria" sheetId="4" r:id="rId4"/>
    <sheet name="Liquidez Monetaria" sheetId="5" r:id="rId5"/>
    <sheet name="Resev. Internacionales $" sheetId="6" r:id="rId6"/>
  </sheets>
  <calcPr calcId="144525"/>
</workbook>
</file>

<file path=xl/calcChain.xml><?xml version="1.0" encoding="utf-8"?>
<calcChain xmlns="http://schemas.openxmlformats.org/spreadsheetml/2006/main">
  <c r="E131" i="6" l="1"/>
  <c r="E130" i="6"/>
  <c r="C33" i="4" l="1"/>
  <c r="C2" i="2"/>
  <c r="E129" i="6" l="1"/>
  <c r="C3" i="2" l="1"/>
  <c r="E128" i="6" l="1"/>
  <c r="C4" i="2" l="1"/>
  <c r="E127" i="6" l="1"/>
  <c r="C5" i="2"/>
  <c r="C30" i="4" l="1"/>
  <c r="C31" i="4"/>
  <c r="C32" i="4"/>
  <c r="E126" i="6" l="1"/>
  <c r="C6" i="2"/>
  <c r="E125" i="6" l="1"/>
  <c r="C7" i="2"/>
  <c r="E124" i="6" l="1"/>
  <c r="C8" i="2" l="1"/>
  <c r="E123" i="6" l="1"/>
  <c r="C9" i="2"/>
  <c r="E122" i="6" l="1"/>
  <c r="C10" i="2" l="1"/>
  <c r="E121" i="6" l="1"/>
  <c r="C11" i="2"/>
  <c r="E120" i="6" l="1"/>
  <c r="C12" i="2" l="1"/>
  <c r="E119" i="6" l="1"/>
  <c r="C13" i="2" l="1"/>
  <c r="E118" i="6" l="1"/>
  <c r="C14" i="2"/>
  <c r="E117" i="6" l="1"/>
  <c r="C15" i="2"/>
  <c r="E116" i="6" l="1"/>
  <c r="C16" i="2"/>
  <c r="E115" i="6" l="1"/>
  <c r="C17" i="2" l="1"/>
  <c r="E114" i="6" l="1"/>
  <c r="C18" i="2"/>
  <c r="E113" i="6" l="1"/>
  <c r="C29" i="4"/>
  <c r="C19" i="2"/>
  <c r="E112" i="6" l="1"/>
  <c r="C20" i="2" l="1"/>
  <c r="E111" i="6" l="1"/>
  <c r="C21" i="2" l="1"/>
  <c r="E110" i="6" l="1"/>
  <c r="C22" i="2" l="1"/>
  <c r="E109" i="6" l="1"/>
  <c r="D109" i="6"/>
  <c r="C23" i="2" l="1"/>
  <c r="E108" i="6" l="1"/>
  <c r="D108" i="6"/>
  <c r="C28" i="4" l="1"/>
  <c r="C27" i="4"/>
  <c r="C26" i="4"/>
  <c r="C24" i="2"/>
  <c r="E107" i="6" l="1"/>
  <c r="C25" i="2"/>
  <c r="E106" i="6" l="1"/>
  <c r="C26" i="2"/>
  <c r="E105" i="6" l="1"/>
  <c r="C27" i="2"/>
  <c r="E104" i="6" l="1"/>
  <c r="C28" i="2"/>
  <c r="E103" i="6" l="1"/>
  <c r="C29" i="2" l="1"/>
  <c r="E102" i="6" l="1"/>
  <c r="C30" i="2" l="1"/>
  <c r="C31" i="2" l="1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E101" i="6"/>
  <c r="E100" i="6" l="1"/>
  <c r="E99" i="6" l="1"/>
  <c r="E98" i="6" l="1"/>
  <c r="E97" i="6" l="1"/>
  <c r="E96" i="6" l="1"/>
  <c r="E95" i="6" l="1"/>
  <c r="C25" i="4" l="1"/>
  <c r="E94" i="6" l="1"/>
  <c r="E93" i="6" l="1"/>
  <c r="E92" i="6" l="1"/>
  <c r="E91" i="6" l="1"/>
  <c r="E90" i="6" l="1"/>
  <c r="E89" i="6" l="1"/>
  <c r="C24" i="4"/>
  <c r="E88" i="6" l="1"/>
  <c r="E87" i="6" l="1"/>
  <c r="E86" i="6" l="1"/>
  <c r="E85" i="6" l="1"/>
  <c r="E84" i="6" l="1"/>
  <c r="E83" i="6" l="1"/>
  <c r="E82" i="6" l="1"/>
  <c r="E81" i="6" l="1"/>
  <c r="E80" i="6" l="1"/>
  <c r="E79" i="6" l="1"/>
  <c r="C23" i="4" l="1"/>
  <c r="E78" i="6" l="1"/>
  <c r="E77" i="6" l="1"/>
  <c r="E76" i="6" l="1"/>
  <c r="E75" i="6" l="1"/>
  <c r="E74" i="6" l="1"/>
  <c r="E73" i="6" l="1"/>
  <c r="E72" i="6" l="1"/>
  <c r="E71" i="6" l="1"/>
  <c r="E70" i="6" l="1"/>
  <c r="E69" i="6" l="1"/>
  <c r="E68" i="6" l="1"/>
  <c r="E67" i="6" l="1"/>
  <c r="E66" i="6" l="1"/>
  <c r="E65" i="6" l="1"/>
  <c r="E64" i="6" l="1"/>
  <c r="E63" i="6" l="1"/>
  <c r="E62" i="6" l="1"/>
  <c r="E61" i="6" l="1"/>
  <c r="E60" i="6" l="1"/>
  <c r="E59" i="6" l="1"/>
  <c r="E58" i="6" l="1"/>
  <c r="E57" i="6" l="1"/>
  <c r="E56" i="6" l="1"/>
  <c r="E55" i="6" l="1"/>
  <c r="E54" i="6" l="1"/>
  <c r="E53" i="6" l="1"/>
  <c r="E52" i="6" l="1"/>
  <c r="E51" i="6" l="1"/>
  <c r="C22" i="4" l="1"/>
  <c r="E50" i="6"/>
  <c r="E49" i="6" l="1"/>
  <c r="E48" i="6" l="1"/>
  <c r="E47" i="6" l="1"/>
  <c r="E46" i="6" l="1"/>
  <c r="C18" i="4" l="1"/>
  <c r="C19" i="4"/>
  <c r="C20" i="4"/>
  <c r="C21" i="4"/>
  <c r="E45" i="6" l="1"/>
  <c r="E44" i="6"/>
  <c r="E43" i="6" l="1"/>
  <c r="E42" i="6" l="1"/>
  <c r="E41" i="6" l="1"/>
  <c r="E40" i="6" l="1"/>
  <c r="E39" i="6" l="1"/>
  <c r="E38" i="6" l="1"/>
  <c r="E37" i="6" l="1"/>
  <c r="E36" i="6" l="1"/>
  <c r="E35" i="6" l="1"/>
  <c r="E34" i="6" l="1"/>
  <c r="E33" i="6" l="1"/>
  <c r="E32" i="6" l="1"/>
  <c r="E31" i="6" l="1"/>
  <c r="E30" i="6" l="1"/>
  <c r="E29" i="6" l="1"/>
  <c r="E28" i="6" l="1"/>
  <c r="C17" i="4" l="1"/>
  <c r="E27" i="6" l="1"/>
  <c r="E26" i="6" l="1"/>
  <c r="E25" i="6" l="1"/>
  <c r="E23" i="6"/>
  <c r="E24" i="6"/>
  <c r="E22" i="6" l="1"/>
  <c r="E21" i="6" l="1"/>
  <c r="E18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D19" i="6"/>
  <c r="E20" i="6" s="1"/>
  <c r="E19" i="6" l="1"/>
  <c r="C16" i="4" l="1"/>
  <c r="C14" i="4" l="1"/>
  <c r="C15" i="4"/>
  <c r="H3" i="5"/>
  <c r="H4" i="5"/>
  <c r="H5" i="5"/>
  <c r="H6" i="5"/>
</calcChain>
</file>

<file path=xl/sharedStrings.xml><?xml version="1.0" encoding="utf-8"?>
<sst xmlns="http://schemas.openxmlformats.org/spreadsheetml/2006/main" count="51" uniqueCount="42">
  <si>
    <t>DÍA</t>
  </si>
  <si>
    <t xml:space="preserve"> (Millones de Bs. )</t>
  </si>
  <si>
    <t>MÍNIMA a /</t>
  </si>
  <si>
    <t>MÁXIMA a /</t>
  </si>
  <si>
    <t>PROMEDIO b /</t>
  </si>
  <si>
    <t>(Millones de  Bs.)</t>
  </si>
  <si>
    <t>Mes</t>
  </si>
  <si>
    <t>Promedio (Millones de Bs)</t>
  </si>
  <si>
    <t>ENERO</t>
  </si>
  <si>
    <t>FEBRERO</t>
  </si>
  <si>
    <t>MARZO</t>
  </si>
  <si>
    <t>MES</t>
  </si>
  <si>
    <t>Monto Invertido</t>
  </si>
  <si>
    <t>Promedio</t>
  </si>
  <si>
    <t>Prom. Ponderado</t>
  </si>
  <si>
    <t>Fecha</t>
  </si>
  <si>
    <t>MONTO</t>
  </si>
  <si>
    <t>Variación</t>
  </si>
  <si>
    <t>MONEDAS</t>
  </si>
  <si>
    <t>DEPÓSITOS</t>
  </si>
  <si>
    <t xml:space="preserve">DEPÓSITOS DE </t>
  </si>
  <si>
    <t>Monto E</t>
  </si>
  <si>
    <t>LIQUIDEZ</t>
  </si>
  <si>
    <t>VARIACIÓN</t>
  </si>
  <si>
    <t>FECHA</t>
  </si>
  <si>
    <t>BCV</t>
  </si>
  <si>
    <t>FIEM / FEM (1)</t>
  </si>
  <si>
    <t>TOTAL (Millones)</t>
  </si>
  <si>
    <t>SEMANAL</t>
  </si>
  <si>
    <t>ABRIL</t>
  </si>
  <si>
    <t>MAYO</t>
  </si>
  <si>
    <t>JUNIO</t>
  </si>
  <si>
    <t>Nota:</t>
  </si>
  <si>
    <t xml:space="preserve">En esta formato dejar las 5 primeras lineas de datos para que se pueda </t>
  </si>
  <si>
    <t>visualizar en la grafica en el portal</t>
  </si>
  <si>
    <t>JULIO</t>
  </si>
  <si>
    <t>AGOSTO</t>
  </si>
  <si>
    <t>1.185.93</t>
  </si>
  <si>
    <t>MONTO F</t>
  </si>
  <si>
    <t>SEPTIEMBRE</t>
  </si>
  <si>
    <t>16/10/206</t>
  </si>
  <si>
    <t>27/10/1026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</si>
</sst>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General_)"/>
    <numFmt numFmtId="165" formatCode="#,##0.00;[Red]\(#,##0.00\)"/>
    <numFmt numFmtId="166" formatCode="_-* #,##0.00\ _B_s_-;\-* #,##0.00\ _B_s_-;_-* &quot;-&quot;??\ _B_s_-;_-@_-"/>
    <numFmt numFmtId="167" formatCode="_([$€-2]\ * #,##0.00_);_([$€-2]\ * \(#,##0.00\);_([$€-2]\ * &quot;-&quot;??_)"/>
    <numFmt numFmtId="168" formatCode="_([$€]* #,##0.00_);_([$€]* \(#,##0.00\);_([$€]* &quot;-&quot;??_);_(@_)"/>
    <numFmt numFmtId="169" formatCode="_(* #,##0.00_);_(* \(#,##0.00\);_(* &quot;-&quot;??_);_(@_)"/>
    <numFmt numFmtId="170" formatCode="_-* #,##0.00_-;\-* #,##0.00_-;_-* &quot;-&quot;??_-;_-@_-"/>
    <numFmt numFmtId="171" formatCode="#.##000"/>
    <numFmt numFmtId="172" formatCode="\$#,#00"/>
    <numFmt numFmtId="173" formatCode="#,#00"/>
    <numFmt numFmtId="174" formatCode="#.##0,"/>
    <numFmt numFmtId="175" formatCode="\$#,"/>
    <numFmt numFmtId="176" formatCode="_-[$€]* #,##0.00_-;\-[$€]* #,##0.00_-;_-[$€]* &quot;-&quot;??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Helv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Aptos Narrow"/>
      <scheme val="minor"/>
    </font>
    <font>
      <sz val="10"/>
      <name val="Arial"/>
      <family val="2"/>
    </font>
    <font>
      <sz val="10"/>
      <name val="Courier"/>
      <family val="3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ouble">
        <color indexed="64"/>
      </top>
      <bottom/>
      <diagonal/>
    </border>
  </borders>
  <cellStyleXfs count="956">
    <xf numFmtId="0" fontId="0" fillId="0" borderId="0"/>
    <xf numFmtId="9" fontId="1" fillId="0" borderId="0" applyFont="0" applyFill="0" applyBorder="0" applyAlignment="0" applyProtection="0"/>
    <xf numFmtId="164" fontId="2" fillId="0" borderId="0"/>
    <xf numFmtId="164" fontId="2" fillId="0" borderId="0"/>
    <xf numFmtId="0" fontId="6" fillId="12" borderId="0" applyNumberFormat="0" applyBorder="0" applyAlignment="0" applyProtection="0"/>
    <xf numFmtId="0" fontId="1" fillId="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1" fillId="6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1" fillId="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1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5" fillId="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8" borderId="0" applyNumberFormat="0" applyBorder="0" applyAlignment="0" applyProtection="0"/>
    <xf numFmtId="0" fontId="5" fillId="10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5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13" fillId="17" borderId="4" applyNumberFormat="0" applyAlignment="0" applyProtection="0"/>
    <xf numFmtId="0" fontId="13" fillId="17" borderId="4" applyNumberFormat="0" applyAlignment="0" applyProtection="0"/>
    <xf numFmtId="0" fontId="13" fillId="17" borderId="4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164" fontId="2" fillId="0" borderId="0"/>
    <xf numFmtId="0" fontId="1" fillId="0" borderId="0"/>
    <xf numFmtId="16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4" fontId="2" fillId="0" borderId="0"/>
    <xf numFmtId="0" fontId="1" fillId="0" borderId="0"/>
    <xf numFmtId="164" fontId="2" fillId="0" borderId="0"/>
    <xf numFmtId="0" fontId="1" fillId="0" borderId="0"/>
    <xf numFmtId="16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4" fontId="2" fillId="0" borderId="0"/>
    <xf numFmtId="0" fontId="1" fillId="0" borderId="0"/>
    <xf numFmtId="164" fontId="2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14" borderId="7" applyNumberFormat="0" applyFont="0" applyAlignment="0" applyProtection="0"/>
    <xf numFmtId="0" fontId="1" fillId="3" borderId="3" applyNumberFormat="0" applyFont="0" applyAlignment="0" applyProtection="0"/>
    <xf numFmtId="0" fontId="2" fillId="14" borderId="7" applyNumberFormat="0" applyFont="0" applyAlignment="0" applyProtection="0"/>
    <xf numFmtId="0" fontId="2" fillId="14" borderId="7" applyNumberFormat="0" applyFont="0" applyAlignment="0" applyProtection="0"/>
    <xf numFmtId="0" fontId="2" fillId="14" borderId="7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21" borderId="8" applyNumberFormat="0" applyAlignment="0" applyProtection="0"/>
    <xf numFmtId="0" fontId="16" fillId="21" borderId="8" applyNumberFormat="0" applyAlignment="0" applyProtection="0"/>
    <xf numFmtId="0" fontId="16" fillId="21" borderId="8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11" applyNumberFormat="0" applyFill="0" applyAlignment="0" applyProtection="0"/>
    <xf numFmtId="0" fontId="12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>
      <protection locked="0"/>
    </xf>
    <xf numFmtId="0" fontId="26" fillId="0" borderId="0">
      <protection locked="0"/>
    </xf>
    <xf numFmtId="176" fontId="24" fillId="0" borderId="0" applyFont="0" applyFill="0" applyBorder="0" applyAlignment="0" applyProtection="0"/>
    <xf numFmtId="0" fontId="26" fillId="0" borderId="0">
      <protection locked="0"/>
    </xf>
    <xf numFmtId="173" fontId="26" fillId="0" borderId="0">
      <protection locked="0"/>
    </xf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26" fillId="0" borderId="0">
      <protection locked="0"/>
    </xf>
    <xf numFmtId="175" fontId="26" fillId="0" borderId="0">
      <protection locked="0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9" fontId="23" fillId="0" borderId="0" applyFont="0" applyFill="0" applyBorder="0" applyAlignment="0" applyProtection="0"/>
    <xf numFmtId="171" fontId="26" fillId="0" borderId="0">
      <protection locked="0"/>
    </xf>
    <xf numFmtId="174" fontId="26" fillId="0" borderId="0">
      <protection locked="0"/>
    </xf>
    <xf numFmtId="0" fontId="26" fillId="0" borderId="13">
      <protection locked="0"/>
    </xf>
  </cellStyleXfs>
  <cellXfs count="40">
    <xf numFmtId="0" fontId="0" fillId="0" borderId="0" xfId="0"/>
    <xf numFmtId="4" fontId="0" fillId="0" borderId="0" xfId="0" applyNumberFormat="1"/>
    <xf numFmtId="14" fontId="0" fillId="0" borderId="0" xfId="0" applyNumberFormat="1"/>
    <xf numFmtId="4" fontId="0" fillId="0" borderId="1" xfId="0" applyNumberFormat="1" applyBorder="1" applyAlignment="1">
      <alignment horizontal="center"/>
    </xf>
    <xf numFmtId="4" fontId="0" fillId="0" borderId="2" xfId="1" applyNumberFormat="1" applyFont="1" applyBorder="1" applyAlignment="1">
      <alignment horizontal="center"/>
    </xf>
    <xf numFmtId="165" fontId="3" fillId="0" borderId="0" xfId="0" applyNumberFormat="1" applyFont="1" applyAlignment="1">
      <alignment horizontal="right"/>
    </xf>
    <xf numFmtId="4" fontId="3" fillId="0" borderId="0" xfId="3" applyNumberFormat="1" applyFont="1"/>
    <xf numFmtId="2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4" fillId="0" borderId="0" xfId="1" applyNumberFormat="1" applyFont="1" applyFill="1" applyAlignment="1">
      <alignment horizontal="center"/>
    </xf>
    <xf numFmtId="0" fontId="0" fillId="0" borderId="0" xfId="0"/>
    <xf numFmtId="4" fontId="0" fillId="0" borderId="0" xfId="0" applyNumberFormat="1"/>
    <xf numFmtId="14" fontId="0" fillId="0" borderId="0" xfId="0" applyNumberFormat="1"/>
    <xf numFmtId="14" fontId="4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horizontal="center"/>
    </xf>
    <xf numFmtId="164" fontId="3" fillId="28" borderId="0" xfId="0" applyNumberFormat="1" applyFont="1" applyFill="1" applyBorder="1" applyAlignment="1" applyProtection="1">
      <alignment horizontal="center"/>
    </xf>
    <xf numFmtId="164" fontId="3" fillId="28" borderId="0" xfId="0" applyNumberFormat="1" applyFont="1" applyFill="1" applyBorder="1" applyAlignment="1" applyProtection="1">
      <alignment horizontal="centerContinuous"/>
    </xf>
    <xf numFmtId="9" fontId="0" fillId="0" borderId="0" xfId="1" applyFont="1" applyAlignment="1">
      <alignment horizontal="left"/>
    </xf>
    <xf numFmtId="10" fontId="0" fillId="0" borderId="0" xfId="1" applyNumberFormat="1" applyFont="1" applyAlignment="1">
      <alignment horizontal="center"/>
    </xf>
    <xf numFmtId="43" fontId="0" fillId="0" borderId="0" xfId="934" applyFont="1" applyAlignment="1">
      <alignment horizontal="center"/>
    </xf>
    <xf numFmtId="0" fontId="22" fillId="0" borderId="0" xfId="0" applyFont="1"/>
    <xf numFmtId="4" fontId="3" fillId="0" borderId="0" xfId="3" applyNumberFormat="1" applyFont="1" applyFill="1"/>
    <xf numFmtId="4" fontId="3" fillId="0" borderId="0" xfId="3" applyNumberFormat="1" applyFont="1" applyFill="1" applyAlignment="1">
      <alignment horizontal="right"/>
    </xf>
    <xf numFmtId="9" fontId="0" fillId="0" borderId="0" xfId="1" applyFont="1"/>
    <xf numFmtId="0" fontId="0" fillId="0" borderId="0" xfId="1" applyNumberFormat="1" applyFont="1"/>
    <xf numFmtId="10" fontId="0" fillId="0" borderId="0" xfId="1" applyNumberFormat="1" applyFont="1"/>
    <xf numFmtId="0" fontId="0" fillId="0" borderId="0" xfId="0" applyFill="1"/>
    <xf numFmtId="165" fontId="3" fillId="0" borderId="0" xfId="3" applyNumberFormat="1" applyFont="1" applyFill="1" applyAlignment="1">
      <alignment horizontal="right"/>
    </xf>
  </cellXfs>
  <cellStyles count="956">
    <cellStyle name="=C:\WINNT\SYSTEM32\COMMAND.COM" xfId="936"/>
    <cellStyle name="=C:\WINNT\SYSTEM32\COMMAND.COM 2" xfId="937"/>
    <cellStyle name="=C:\WINNT\SYSTEM32\COMMAND.COM 3" xfId="938"/>
    <cellStyle name="=C:\WINNT\SYSTEM32\COMMAND.COM_BCV 212-99 AL 30-06-2012" xfId="939"/>
    <cellStyle name="20% - Énfasis1 2" xfId="4"/>
    <cellStyle name="20% - Énfasis1 2 2" xfId="5"/>
    <cellStyle name="20% - Énfasis1 2 3" xfId="6"/>
    <cellStyle name="20% - Énfasis1 3" xfId="7"/>
    <cellStyle name="20% - Énfasis1 4" xfId="8"/>
    <cellStyle name="20% - Énfasis2 2" xfId="9"/>
    <cellStyle name="20% - Énfasis2 2 2" xfId="10"/>
    <cellStyle name="20% - Énfasis2 2 3" xfId="11"/>
    <cellStyle name="20% - Énfasis2 3" xfId="12"/>
    <cellStyle name="20% - Énfasis2 4" xfId="13"/>
    <cellStyle name="20% - Énfasis3 2" xfId="14"/>
    <cellStyle name="20% - Énfasis3 2 2" xfId="15"/>
    <cellStyle name="20% - Énfasis3 2 3" xfId="16"/>
    <cellStyle name="20% - Énfasis3 3" xfId="17"/>
    <cellStyle name="20% - Énfasis3 4" xfId="18"/>
    <cellStyle name="20% - Énfasis4 2" xfId="19"/>
    <cellStyle name="20% - Énfasis4 2 2" xfId="20"/>
    <cellStyle name="20% - Énfasis4 2 3" xfId="21"/>
    <cellStyle name="20% - Énfasis4 3" xfId="22"/>
    <cellStyle name="20% - Énfasis4 4" xfId="23"/>
    <cellStyle name="20% - Énfasis5 2" xfId="24"/>
    <cellStyle name="20% - Énfasis5 3" xfId="25"/>
    <cellStyle name="20% - Énfasis5 4" xfId="26"/>
    <cellStyle name="20% - Énfasis6 2" xfId="27"/>
    <cellStyle name="20% - Énfasis6 3" xfId="28"/>
    <cellStyle name="20% - Énfasis6 4" xfId="29"/>
    <cellStyle name="40% - Énfasis1 2" xfId="30"/>
    <cellStyle name="40% - Énfasis1 3" xfId="31"/>
    <cellStyle name="40% - Énfasis1 4" xfId="32"/>
    <cellStyle name="40% - Énfasis2 2" xfId="33"/>
    <cellStyle name="40% - Énfasis2 3" xfId="34"/>
    <cellStyle name="40% - Énfasis2 4" xfId="35"/>
    <cellStyle name="40% - Énfasis3 2" xfId="36"/>
    <cellStyle name="40% - Énfasis3 2 2" xfId="37"/>
    <cellStyle name="40% - Énfasis3 2 3" xfId="38"/>
    <cellStyle name="40% - Énfasis3 3" xfId="39"/>
    <cellStyle name="40% - Énfasis3 4" xfId="40"/>
    <cellStyle name="40% - Énfasis4 2" xfId="41"/>
    <cellStyle name="40% - Énfasis4 3" xfId="42"/>
    <cellStyle name="40% - Énfasis4 4" xfId="43"/>
    <cellStyle name="40% - Énfasis5 2" xfId="44"/>
    <cellStyle name="40% - Énfasis5 3" xfId="45"/>
    <cellStyle name="40% - Énfasis5 4" xfId="46"/>
    <cellStyle name="40% - Énfasis6 2" xfId="47"/>
    <cellStyle name="40% - Énfasis6 3" xfId="48"/>
    <cellStyle name="40% - Énfasis6 4" xfId="49"/>
    <cellStyle name="60% - Énfasis1 2" xfId="50"/>
    <cellStyle name="60% - Énfasis1 3" xfId="51"/>
    <cellStyle name="60% - Énfasis1 4" xfId="52"/>
    <cellStyle name="60% - Énfasis2 2" xfId="53"/>
    <cellStyle name="60% - Énfasis2 3" xfId="54"/>
    <cellStyle name="60% - Énfasis2 4" xfId="55"/>
    <cellStyle name="60% - Énfasis3 2" xfId="56"/>
    <cellStyle name="60% - Énfasis3 2 2" xfId="57"/>
    <cellStyle name="60% - Énfasis3 2 3" xfId="58"/>
    <cellStyle name="60% - Énfasis3 3" xfId="59"/>
    <cellStyle name="60% - Énfasis3 4" xfId="60"/>
    <cellStyle name="60% - Énfasis4 2" xfId="61"/>
    <cellStyle name="60% - Énfasis4 2 2" xfId="62"/>
    <cellStyle name="60% - Énfasis4 2 3" xfId="63"/>
    <cellStyle name="60% - Énfasis4 3" xfId="64"/>
    <cellStyle name="60% - Énfasis4 4" xfId="65"/>
    <cellStyle name="60% - Énfasis5 2" xfId="66"/>
    <cellStyle name="60% - Énfasis5 3" xfId="67"/>
    <cellStyle name="60% - Énfasis5 4" xfId="68"/>
    <cellStyle name="60% - Énfasis6 2" xfId="69"/>
    <cellStyle name="60% - Énfasis6 2 2" xfId="70"/>
    <cellStyle name="60% - Énfasis6 2 3" xfId="71"/>
    <cellStyle name="60% - Énfasis6 3" xfId="72"/>
    <cellStyle name="60% - Énfasis6 4" xfId="73"/>
    <cellStyle name="Buena 2" xfId="74"/>
    <cellStyle name="Buena 3" xfId="75"/>
    <cellStyle name="Buena 4" xfId="76"/>
    <cellStyle name="Cabecera 1" xfId="940"/>
    <cellStyle name="Cabecera 2" xfId="941"/>
    <cellStyle name="Cálculo 2" xfId="77"/>
    <cellStyle name="Cálculo 3" xfId="78"/>
    <cellStyle name="Cálculo 4" xfId="79"/>
    <cellStyle name="Celda de comprobación 2" xfId="80"/>
    <cellStyle name="Celda de comprobación 3" xfId="81"/>
    <cellStyle name="Celda de comprobación 4" xfId="82"/>
    <cellStyle name="Celda vinculada 2" xfId="83"/>
    <cellStyle name="Celda vinculada 3" xfId="84"/>
    <cellStyle name="Celda vinculada 4" xfId="85"/>
    <cellStyle name="Comma 2" xfId="121"/>
    <cellStyle name="Encabezado 4 2" xfId="86"/>
    <cellStyle name="Encabezado 4 3" xfId="87"/>
    <cellStyle name="Encabezado 4 4" xfId="88"/>
    <cellStyle name="Énfasis1 2" xfId="89"/>
    <cellStyle name="Énfasis1 3" xfId="90"/>
    <cellStyle name="Énfasis1 4" xfId="91"/>
    <cellStyle name="Énfasis2 2" xfId="92"/>
    <cellStyle name="Énfasis2 3" xfId="93"/>
    <cellStyle name="Énfasis2 4" xfId="94"/>
    <cellStyle name="Énfasis3 2" xfId="95"/>
    <cellStyle name="Énfasis3 3" xfId="96"/>
    <cellStyle name="Énfasis3 4" xfId="97"/>
    <cellStyle name="Énfasis4 2" xfId="98"/>
    <cellStyle name="Énfasis4 3" xfId="99"/>
    <cellStyle name="Énfasis4 4" xfId="100"/>
    <cellStyle name="Énfasis5 2" xfId="101"/>
    <cellStyle name="Énfasis5 3" xfId="102"/>
    <cellStyle name="Énfasis5 4" xfId="103"/>
    <cellStyle name="Énfasis6 2" xfId="104"/>
    <cellStyle name="Énfasis6 3" xfId="105"/>
    <cellStyle name="Énfasis6 4" xfId="106"/>
    <cellStyle name="Entrada 2" xfId="107"/>
    <cellStyle name="Entrada 3" xfId="108"/>
    <cellStyle name="Entrada 4" xfId="109"/>
    <cellStyle name="Euro" xfId="110"/>
    <cellStyle name="Euro 2" xfId="111"/>
    <cellStyle name="Euro 2 2" xfId="112"/>
    <cellStyle name="Euro 2 3" xfId="113"/>
    <cellStyle name="Euro 2 4" xfId="114"/>
    <cellStyle name="Euro 3" xfId="115"/>
    <cellStyle name="Euro 4" xfId="116"/>
    <cellStyle name="Euro 5" xfId="117"/>
    <cellStyle name="Euro 6" xfId="942"/>
    <cellStyle name="Fecha" xfId="943"/>
    <cellStyle name="Fijo" xfId="944"/>
    <cellStyle name="Incorrecto 2" xfId="118"/>
    <cellStyle name="Incorrecto 3" xfId="119"/>
    <cellStyle name="Incorrecto 4" xfId="120"/>
    <cellStyle name="Millares" xfId="934" builtinId="3"/>
    <cellStyle name="Millares 10" xfId="122"/>
    <cellStyle name="Millares 10 2" xfId="810"/>
    <cellStyle name="Millares 11" xfId="945"/>
    <cellStyle name="Millares 2" xfId="123"/>
    <cellStyle name="Millares 2 2" xfId="124"/>
    <cellStyle name="Millares 2 2 2" xfId="125"/>
    <cellStyle name="Millares 2 2 2 2" xfId="813"/>
    <cellStyle name="Millares 2 2 3" xfId="812"/>
    <cellStyle name="Millares 2 3" xfId="126"/>
    <cellStyle name="Millares 2 3 2" xfId="814"/>
    <cellStyle name="Millares 2 4" xfId="127"/>
    <cellStyle name="Millares 2 4 2" xfId="815"/>
    <cellStyle name="Millares 2 5" xfId="811"/>
    <cellStyle name="Millares 2 6" xfId="946"/>
    <cellStyle name="Millares 3" xfId="128"/>
    <cellStyle name="Millares 3 10" xfId="129"/>
    <cellStyle name="Millares 3 10 2" xfId="817"/>
    <cellStyle name="Millares 3 100" xfId="130"/>
    <cellStyle name="Millares 3 100 2" xfId="818"/>
    <cellStyle name="Millares 3 101" xfId="131"/>
    <cellStyle name="Millares 3 101 2" xfId="819"/>
    <cellStyle name="Millares 3 102" xfId="132"/>
    <cellStyle name="Millares 3 102 2" xfId="820"/>
    <cellStyle name="Millares 3 103" xfId="133"/>
    <cellStyle name="Millares 3 103 2" xfId="134"/>
    <cellStyle name="Millares 3 103 2 2" xfId="135"/>
    <cellStyle name="Millares 3 103 2 2 2" xfId="823"/>
    <cellStyle name="Millares 3 103 2 3" xfId="822"/>
    <cellStyle name="Millares 3 103 3" xfId="821"/>
    <cellStyle name="Millares 3 104" xfId="136"/>
    <cellStyle name="Millares 3 104 2" xfId="824"/>
    <cellStyle name="Millares 3 105" xfId="816"/>
    <cellStyle name="Millares 3 106" xfId="947"/>
    <cellStyle name="Millares 3 11" xfId="137"/>
    <cellStyle name="Millares 3 11 2" xfId="825"/>
    <cellStyle name="Millares 3 12" xfId="138"/>
    <cellStyle name="Millares 3 12 2" xfId="826"/>
    <cellStyle name="Millares 3 13" xfId="139"/>
    <cellStyle name="Millares 3 13 2" xfId="827"/>
    <cellStyle name="Millares 3 14" xfId="140"/>
    <cellStyle name="Millares 3 14 2" xfId="828"/>
    <cellStyle name="Millares 3 15" xfId="141"/>
    <cellStyle name="Millares 3 15 2" xfId="829"/>
    <cellStyle name="Millares 3 16" xfId="142"/>
    <cellStyle name="Millares 3 16 2" xfId="830"/>
    <cellStyle name="Millares 3 17" xfId="143"/>
    <cellStyle name="Millares 3 17 2" xfId="831"/>
    <cellStyle name="Millares 3 18" xfId="144"/>
    <cellStyle name="Millares 3 18 2" xfId="832"/>
    <cellStyle name="Millares 3 19" xfId="145"/>
    <cellStyle name="Millares 3 19 2" xfId="833"/>
    <cellStyle name="Millares 3 2" xfId="146"/>
    <cellStyle name="Millares 3 2 2" xfId="147"/>
    <cellStyle name="Millares 3 2 2 2" xfId="835"/>
    <cellStyle name="Millares 3 2 3" xfId="148"/>
    <cellStyle name="Millares 3 2 3 2" xfId="836"/>
    <cellStyle name="Millares 3 2 4" xfId="834"/>
    <cellStyle name="Millares 3 20" xfId="149"/>
    <cellStyle name="Millares 3 20 2" xfId="837"/>
    <cellStyle name="Millares 3 21" xfId="150"/>
    <cellStyle name="Millares 3 21 2" xfId="838"/>
    <cellStyle name="Millares 3 22" xfId="151"/>
    <cellStyle name="Millares 3 22 2" xfId="839"/>
    <cellStyle name="Millares 3 23" xfId="152"/>
    <cellStyle name="Millares 3 23 2" xfId="840"/>
    <cellStyle name="Millares 3 24" xfId="153"/>
    <cellStyle name="Millares 3 24 2" xfId="841"/>
    <cellStyle name="Millares 3 25" xfId="154"/>
    <cellStyle name="Millares 3 25 2" xfId="842"/>
    <cellStyle name="Millares 3 26" xfId="155"/>
    <cellStyle name="Millares 3 26 2" xfId="843"/>
    <cellStyle name="Millares 3 27" xfId="156"/>
    <cellStyle name="Millares 3 27 2" xfId="844"/>
    <cellStyle name="Millares 3 28" xfId="157"/>
    <cellStyle name="Millares 3 28 2" xfId="845"/>
    <cellStyle name="Millares 3 29" xfId="158"/>
    <cellStyle name="Millares 3 29 2" xfId="846"/>
    <cellStyle name="Millares 3 3" xfId="159"/>
    <cellStyle name="Millares 3 3 2" xfId="847"/>
    <cellStyle name="Millares 3 30" xfId="160"/>
    <cellStyle name="Millares 3 30 2" xfId="848"/>
    <cellStyle name="Millares 3 31" xfId="161"/>
    <cellStyle name="Millares 3 31 2" xfId="849"/>
    <cellStyle name="Millares 3 32" xfId="162"/>
    <cellStyle name="Millares 3 32 2" xfId="850"/>
    <cellStyle name="Millares 3 33" xfId="163"/>
    <cellStyle name="Millares 3 33 2" xfId="851"/>
    <cellStyle name="Millares 3 34" xfId="164"/>
    <cellStyle name="Millares 3 34 2" xfId="852"/>
    <cellStyle name="Millares 3 35" xfId="165"/>
    <cellStyle name="Millares 3 35 2" xfId="853"/>
    <cellStyle name="Millares 3 36" xfId="166"/>
    <cellStyle name="Millares 3 36 2" xfId="854"/>
    <cellStyle name="Millares 3 37" xfId="167"/>
    <cellStyle name="Millares 3 37 2" xfId="855"/>
    <cellStyle name="Millares 3 38" xfId="168"/>
    <cellStyle name="Millares 3 38 2" xfId="856"/>
    <cellStyle name="Millares 3 39" xfId="169"/>
    <cellStyle name="Millares 3 39 2" xfId="857"/>
    <cellStyle name="Millares 3 4" xfId="170"/>
    <cellStyle name="Millares 3 4 2" xfId="858"/>
    <cellStyle name="Millares 3 40" xfId="171"/>
    <cellStyle name="Millares 3 40 2" xfId="859"/>
    <cellStyle name="Millares 3 41" xfId="172"/>
    <cellStyle name="Millares 3 41 2" xfId="860"/>
    <cellStyle name="Millares 3 42" xfId="173"/>
    <cellStyle name="Millares 3 42 2" xfId="861"/>
    <cellStyle name="Millares 3 43" xfId="174"/>
    <cellStyle name="Millares 3 43 2" xfId="862"/>
    <cellStyle name="Millares 3 44" xfId="175"/>
    <cellStyle name="Millares 3 44 2" xfId="863"/>
    <cellStyle name="Millares 3 45" xfId="176"/>
    <cellStyle name="Millares 3 45 2" xfId="864"/>
    <cellStyle name="Millares 3 46" xfId="177"/>
    <cellStyle name="Millares 3 46 2" xfId="865"/>
    <cellStyle name="Millares 3 47" xfId="178"/>
    <cellStyle name="Millares 3 47 2" xfId="866"/>
    <cellStyle name="Millares 3 48" xfId="179"/>
    <cellStyle name="Millares 3 48 2" xfId="867"/>
    <cellStyle name="Millares 3 49" xfId="180"/>
    <cellStyle name="Millares 3 49 2" xfId="868"/>
    <cellStyle name="Millares 3 5" xfId="181"/>
    <cellStyle name="Millares 3 5 2" xfId="869"/>
    <cellStyle name="Millares 3 50" xfId="182"/>
    <cellStyle name="Millares 3 50 2" xfId="870"/>
    <cellStyle name="Millares 3 51" xfId="183"/>
    <cellStyle name="Millares 3 51 2" xfId="871"/>
    <cellStyle name="Millares 3 52" xfId="184"/>
    <cellStyle name="Millares 3 52 2" xfId="872"/>
    <cellStyle name="Millares 3 53" xfId="185"/>
    <cellStyle name="Millares 3 53 2" xfId="873"/>
    <cellStyle name="Millares 3 54" xfId="186"/>
    <cellStyle name="Millares 3 54 2" xfId="874"/>
    <cellStyle name="Millares 3 55" xfId="187"/>
    <cellStyle name="Millares 3 55 2" xfId="875"/>
    <cellStyle name="Millares 3 56" xfId="188"/>
    <cellStyle name="Millares 3 56 2" xfId="876"/>
    <cellStyle name="Millares 3 57" xfId="189"/>
    <cellStyle name="Millares 3 57 2" xfId="877"/>
    <cellStyle name="Millares 3 58" xfId="190"/>
    <cellStyle name="Millares 3 58 2" xfId="878"/>
    <cellStyle name="Millares 3 59" xfId="191"/>
    <cellStyle name="Millares 3 59 2" xfId="879"/>
    <cellStyle name="Millares 3 6" xfId="192"/>
    <cellStyle name="Millares 3 6 2" xfId="880"/>
    <cellStyle name="Millares 3 60" xfId="193"/>
    <cellStyle name="Millares 3 60 2" xfId="881"/>
    <cellStyle name="Millares 3 61" xfId="194"/>
    <cellStyle name="Millares 3 61 2" xfId="882"/>
    <cellStyle name="Millares 3 62" xfId="195"/>
    <cellStyle name="Millares 3 62 2" xfId="883"/>
    <cellStyle name="Millares 3 63" xfId="196"/>
    <cellStyle name="Millares 3 63 2" xfId="884"/>
    <cellStyle name="Millares 3 64" xfId="197"/>
    <cellStyle name="Millares 3 64 2" xfId="885"/>
    <cellStyle name="Millares 3 65" xfId="198"/>
    <cellStyle name="Millares 3 65 2" xfId="886"/>
    <cellStyle name="Millares 3 66" xfId="199"/>
    <cellStyle name="Millares 3 66 2" xfId="887"/>
    <cellStyle name="Millares 3 67" xfId="200"/>
    <cellStyle name="Millares 3 67 2" xfId="888"/>
    <cellStyle name="Millares 3 68" xfId="201"/>
    <cellStyle name="Millares 3 68 2" xfId="889"/>
    <cellStyle name="Millares 3 69" xfId="202"/>
    <cellStyle name="Millares 3 69 2" xfId="890"/>
    <cellStyle name="Millares 3 7" xfId="203"/>
    <cellStyle name="Millares 3 7 2" xfId="891"/>
    <cellStyle name="Millares 3 70" xfId="204"/>
    <cellStyle name="Millares 3 70 2" xfId="892"/>
    <cellStyle name="Millares 3 71" xfId="205"/>
    <cellStyle name="Millares 3 71 2" xfId="893"/>
    <cellStyle name="Millares 3 72" xfId="206"/>
    <cellStyle name="Millares 3 72 2" xfId="894"/>
    <cellStyle name="Millares 3 73" xfId="207"/>
    <cellStyle name="Millares 3 73 2" xfId="895"/>
    <cellStyle name="Millares 3 74" xfId="208"/>
    <cellStyle name="Millares 3 74 2" xfId="896"/>
    <cellStyle name="Millares 3 75" xfId="209"/>
    <cellStyle name="Millares 3 75 2" xfId="897"/>
    <cellStyle name="Millares 3 76" xfId="210"/>
    <cellStyle name="Millares 3 76 2" xfId="898"/>
    <cellStyle name="Millares 3 77" xfId="211"/>
    <cellStyle name="Millares 3 77 2" xfId="899"/>
    <cellStyle name="Millares 3 78" xfId="212"/>
    <cellStyle name="Millares 3 78 2" xfId="900"/>
    <cellStyle name="Millares 3 79" xfId="213"/>
    <cellStyle name="Millares 3 79 2" xfId="901"/>
    <cellStyle name="Millares 3 8" xfId="214"/>
    <cellStyle name="Millares 3 8 2" xfId="902"/>
    <cellStyle name="Millares 3 80" xfId="215"/>
    <cellStyle name="Millares 3 80 2" xfId="903"/>
    <cellStyle name="Millares 3 81" xfId="216"/>
    <cellStyle name="Millares 3 81 2" xfId="904"/>
    <cellStyle name="Millares 3 82" xfId="217"/>
    <cellStyle name="Millares 3 82 2" xfId="905"/>
    <cellStyle name="Millares 3 83" xfId="218"/>
    <cellStyle name="Millares 3 83 2" xfId="906"/>
    <cellStyle name="Millares 3 84" xfId="219"/>
    <cellStyle name="Millares 3 84 2" xfId="907"/>
    <cellStyle name="Millares 3 85" xfId="220"/>
    <cellStyle name="Millares 3 85 2" xfId="908"/>
    <cellStyle name="Millares 3 86" xfId="221"/>
    <cellStyle name="Millares 3 86 2" xfId="909"/>
    <cellStyle name="Millares 3 87" xfId="222"/>
    <cellStyle name="Millares 3 87 2" xfId="910"/>
    <cellStyle name="Millares 3 88" xfId="223"/>
    <cellStyle name="Millares 3 88 2" xfId="911"/>
    <cellStyle name="Millares 3 89" xfId="224"/>
    <cellStyle name="Millares 3 89 2" xfId="912"/>
    <cellStyle name="Millares 3 9" xfId="225"/>
    <cellStyle name="Millares 3 9 2" xfId="913"/>
    <cellStyle name="Millares 3 90" xfId="226"/>
    <cellStyle name="Millares 3 90 2" xfId="914"/>
    <cellStyle name="Millares 3 91" xfId="227"/>
    <cellStyle name="Millares 3 91 2" xfId="915"/>
    <cellStyle name="Millares 3 92" xfId="228"/>
    <cellStyle name="Millares 3 92 2" xfId="916"/>
    <cellStyle name="Millares 3 93" xfId="229"/>
    <cellStyle name="Millares 3 93 2" xfId="917"/>
    <cellStyle name="Millares 3 94" xfId="230"/>
    <cellStyle name="Millares 3 94 2" xfId="918"/>
    <cellStyle name="Millares 3 95" xfId="231"/>
    <cellStyle name="Millares 3 95 2" xfId="919"/>
    <cellStyle name="Millares 3 96" xfId="232"/>
    <cellStyle name="Millares 3 96 2" xfId="920"/>
    <cellStyle name="Millares 3 97" xfId="233"/>
    <cellStyle name="Millares 3 97 2" xfId="921"/>
    <cellStyle name="Millares 3 98" xfId="234"/>
    <cellStyle name="Millares 3 98 2" xfId="922"/>
    <cellStyle name="Millares 3 99" xfId="235"/>
    <cellStyle name="Millares 3 99 2" xfId="923"/>
    <cellStyle name="Millares 4" xfId="236"/>
    <cellStyle name="Millares 4 2" xfId="237"/>
    <cellStyle name="Millares 4 2 2" xfId="925"/>
    <cellStyle name="Millares 4 3" xfId="924"/>
    <cellStyle name="Millares 5" xfId="238"/>
    <cellStyle name="Millares 5 2" xfId="239"/>
    <cellStyle name="Millares 5 2 2" xfId="927"/>
    <cellStyle name="Millares 5 3" xfId="240"/>
    <cellStyle name="Millares 5 3 2" xfId="928"/>
    <cellStyle name="Millares 5 4" xfId="926"/>
    <cellStyle name="Millares 6" xfId="241"/>
    <cellStyle name="Millares 6 2" xfId="242"/>
    <cellStyle name="Millares 6 2 2" xfId="929"/>
    <cellStyle name="Millares 6 3" xfId="243"/>
    <cellStyle name="Millares 7" xfId="244"/>
    <cellStyle name="Millares 7 2" xfId="930"/>
    <cellStyle name="Millares 8" xfId="245"/>
    <cellStyle name="Millares 8 2" xfId="246"/>
    <cellStyle name="Millares 8 2 2" xfId="932"/>
    <cellStyle name="Millares 8 3" xfId="931"/>
    <cellStyle name="Millares 9" xfId="247"/>
    <cellStyle name="Millares 9 2" xfId="933"/>
    <cellStyle name="Monetario" xfId="948"/>
    <cellStyle name="Monetario0" xfId="949"/>
    <cellStyle name="Neutral 2" xfId="249"/>
    <cellStyle name="Neutral 3" xfId="250"/>
    <cellStyle name="Neutral 4" xfId="251"/>
    <cellStyle name="Neutral 5" xfId="248"/>
    <cellStyle name="NivelFila_3 2" xfId="809"/>
    <cellStyle name="Normal" xfId="0" builtinId="0"/>
    <cellStyle name="Normal 10" xfId="252"/>
    <cellStyle name="Normal 10 2" xfId="253"/>
    <cellStyle name="Normal 10 3" xfId="254"/>
    <cellStyle name="Normal 10 4" xfId="255"/>
    <cellStyle name="Normal 100" xfId="256"/>
    <cellStyle name="Normal 100 2" xfId="257"/>
    <cellStyle name="Normal 101" xfId="258"/>
    <cellStyle name="Normal 101 2" xfId="259"/>
    <cellStyle name="Normal 102" xfId="260"/>
    <cellStyle name="Normal 102 2" xfId="261"/>
    <cellStyle name="Normal 103" xfId="262"/>
    <cellStyle name="Normal 103 2" xfId="263"/>
    <cellStyle name="Normal 104" xfId="264"/>
    <cellStyle name="Normal 104 2" xfId="265"/>
    <cellStyle name="Normal 104 3" xfId="266"/>
    <cellStyle name="Normal 105" xfId="267"/>
    <cellStyle name="Normal 106" xfId="268"/>
    <cellStyle name="Normal 106 2" xfId="269"/>
    <cellStyle name="Normal 106 3" xfId="270"/>
    <cellStyle name="Normal 107" xfId="271"/>
    <cellStyle name="Normal 107 2" xfId="272"/>
    <cellStyle name="Normal 108" xfId="273"/>
    <cellStyle name="Normal 109" xfId="274"/>
    <cellStyle name="Normal 11" xfId="275"/>
    <cellStyle name="Normal 11 2" xfId="276"/>
    <cellStyle name="Normal 11 3" xfId="277"/>
    <cellStyle name="Normal 11 4" xfId="278"/>
    <cellStyle name="Normal 110" xfId="279"/>
    <cellStyle name="Normal 111" xfId="280"/>
    <cellStyle name="Normal 112" xfId="281"/>
    <cellStyle name="Normal 112 2" xfId="282"/>
    <cellStyle name="Normal 113" xfId="283"/>
    <cellStyle name="Normal 113 2" xfId="284"/>
    <cellStyle name="Normal 114" xfId="285"/>
    <cellStyle name="Normal 114 2" xfId="286"/>
    <cellStyle name="Normal 115" xfId="287"/>
    <cellStyle name="Normal 115 2" xfId="288"/>
    <cellStyle name="Normal 116" xfId="289"/>
    <cellStyle name="Normal 116 2" xfId="290"/>
    <cellStyle name="Normal 116 3" xfId="291"/>
    <cellStyle name="Normal 117" xfId="292"/>
    <cellStyle name="Normal 117 2" xfId="293"/>
    <cellStyle name="Normal 118" xfId="294"/>
    <cellStyle name="Normal 118 2" xfId="295"/>
    <cellStyle name="Normal 118 3" xfId="296"/>
    <cellStyle name="Normal 119" xfId="297"/>
    <cellStyle name="Normal 119 2" xfId="298"/>
    <cellStyle name="Normal 119 3" xfId="299"/>
    <cellStyle name="Normal 12" xfId="300"/>
    <cellStyle name="Normal 12 2" xfId="301"/>
    <cellStyle name="Normal 12 3" xfId="302"/>
    <cellStyle name="Normal 12 4" xfId="303"/>
    <cellStyle name="Normal 120" xfId="304"/>
    <cellStyle name="Normal 120 2" xfId="305"/>
    <cellStyle name="Normal 121" xfId="306"/>
    <cellStyle name="Normal 121 2" xfId="307"/>
    <cellStyle name="Normal 122" xfId="308"/>
    <cellStyle name="Normal 122 2" xfId="309"/>
    <cellStyle name="Normal 123" xfId="310"/>
    <cellStyle name="Normal 124" xfId="311"/>
    <cellStyle name="Normal 124 2" xfId="312"/>
    <cellStyle name="Normal 125" xfId="313"/>
    <cellStyle name="Normal 125 2" xfId="314"/>
    <cellStyle name="Normal 126" xfId="315"/>
    <cellStyle name="Normal 127" xfId="316"/>
    <cellStyle name="Normal 127 2" xfId="317"/>
    <cellStyle name="Normal 128" xfId="318"/>
    <cellStyle name="Normal 129" xfId="319"/>
    <cellStyle name="Normal 13" xfId="320"/>
    <cellStyle name="Normal 13 2" xfId="321"/>
    <cellStyle name="Normal 13 3" xfId="322"/>
    <cellStyle name="Normal 13 4" xfId="323"/>
    <cellStyle name="Normal 130" xfId="324"/>
    <cellStyle name="Normal 130 2" xfId="325"/>
    <cellStyle name="Normal 131" xfId="326"/>
    <cellStyle name="Normal 131 2" xfId="327"/>
    <cellStyle name="Normal 132" xfId="328"/>
    <cellStyle name="Normal 132 2" xfId="329"/>
    <cellStyle name="Normal 133" xfId="330"/>
    <cellStyle name="Normal 133 2" xfId="331"/>
    <cellStyle name="Normal 134" xfId="332"/>
    <cellStyle name="Normal 135" xfId="333"/>
    <cellStyle name="Normal 135 2" xfId="334"/>
    <cellStyle name="Normal 136" xfId="335"/>
    <cellStyle name="Normal 136 2" xfId="336"/>
    <cellStyle name="Normal 137" xfId="337"/>
    <cellStyle name="Normal 137 2" xfId="338"/>
    <cellStyle name="Normal 138" xfId="339"/>
    <cellStyle name="Normal 138 2" xfId="340"/>
    <cellStyle name="Normal 139" xfId="341"/>
    <cellStyle name="Normal 139 2" xfId="342"/>
    <cellStyle name="Normal 14" xfId="343"/>
    <cellStyle name="Normal 14 2" xfId="344"/>
    <cellStyle name="Normal 14 3" xfId="345"/>
    <cellStyle name="Normal 14 4" xfId="346"/>
    <cellStyle name="Normal 140" xfId="347"/>
    <cellStyle name="Normal 140 2" xfId="348"/>
    <cellStyle name="Normal 141" xfId="349"/>
    <cellStyle name="Normal 142" xfId="350"/>
    <cellStyle name="Normal 142 2" xfId="351"/>
    <cellStyle name="Normal 143" xfId="352"/>
    <cellStyle name="Normal 143 2" xfId="353"/>
    <cellStyle name="Normal 143 3" xfId="354"/>
    <cellStyle name="Normal 144" xfId="355"/>
    <cellStyle name="Normal 144 2" xfId="356"/>
    <cellStyle name="Normal 145" xfId="357"/>
    <cellStyle name="Normal 145 2" xfId="358"/>
    <cellStyle name="Normal 146" xfId="359"/>
    <cellStyle name="Normal 147" xfId="360"/>
    <cellStyle name="Normal 148" xfId="935"/>
    <cellStyle name="Normal 15" xfId="361"/>
    <cellStyle name="Normal 15 2" xfId="362"/>
    <cellStyle name="Normal 15 3" xfId="363"/>
    <cellStyle name="Normal 15 4" xfId="364"/>
    <cellStyle name="Normal 16" xfId="365"/>
    <cellStyle name="Normal 16 2" xfId="366"/>
    <cellStyle name="Normal 16 3" xfId="367"/>
    <cellStyle name="Normal 16 4" xfId="368"/>
    <cellStyle name="Normal 17" xfId="369"/>
    <cellStyle name="Normal 17 2" xfId="370"/>
    <cellStyle name="Normal 17 3" xfId="371"/>
    <cellStyle name="Normal 17 4" xfId="372"/>
    <cellStyle name="Normal 18" xfId="373"/>
    <cellStyle name="Normal 18 2" xfId="374"/>
    <cellStyle name="Normal 18 3" xfId="375"/>
    <cellStyle name="Normal 18 4" xfId="376"/>
    <cellStyle name="Normal 19" xfId="377"/>
    <cellStyle name="Normal 19 2" xfId="378"/>
    <cellStyle name="Normal 19 3" xfId="379"/>
    <cellStyle name="Normal 19 4" xfId="380"/>
    <cellStyle name="Normal 2" xfId="381"/>
    <cellStyle name="Normal 2 10" xfId="382"/>
    <cellStyle name="Normal 2 100" xfId="383"/>
    <cellStyle name="Normal 2 101" xfId="384"/>
    <cellStyle name="Normal 2 102" xfId="385"/>
    <cellStyle name="Normal 2 103" xfId="386"/>
    <cellStyle name="Normal 2 103 2" xfId="387"/>
    <cellStyle name="Normal 2 103 2 2" xfId="388"/>
    <cellStyle name="Normal 2 104" xfId="389"/>
    <cellStyle name="Normal 2 104 2" xfId="390"/>
    <cellStyle name="Normal 2 105" xfId="391"/>
    <cellStyle name="Normal 2 105 2" xfId="392"/>
    <cellStyle name="Normal 2 106" xfId="393"/>
    <cellStyle name="Normal 2 106 2" xfId="394"/>
    <cellStyle name="Normal 2 106 3" xfId="395"/>
    <cellStyle name="Normal 2 107" xfId="396"/>
    <cellStyle name="Normal 2 107 2" xfId="397"/>
    <cellStyle name="Normal 2 108" xfId="398"/>
    <cellStyle name="Normal 2 108 2" xfId="399"/>
    <cellStyle name="Normal 2 109" xfId="400"/>
    <cellStyle name="Normal 2 109 2" xfId="401"/>
    <cellStyle name="Normal 2 11" xfId="402"/>
    <cellStyle name="Normal 2 110" xfId="403"/>
    <cellStyle name="Normal 2 111" xfId="404"/>
    <cellStyle name="Normal 2 112" xfId="405"/>
    <cellStyle name="Normal 2 113" xfId="406"/>
    <cellStyle name="Normal 2 114" xfId="407"/>
    <cellStyle name="Normal 2 115" xfId="408"/>
    <cellStyle name="Normal 2 12" xfId="409"/>
    <cellStyle name="Normal 2 13" xfId="410"/>
    <cellStyle name="Normal 2 14" xfId="411"/>
    <cellStyle name="Normal 2 15" xfId="412"/>
    <cellStyle name="Normal 2 16" xfId="413"/>
    <cellStyle name="Normal 2 17" xfId="414"/>
    <cellStyle name="Normal 2 18" xfId="415"/>
    <cellStyle name="Normal 2 19" xfId="416"/>
    <cellStyle name="Normal 2 2" xfId="417"/>
    <cellStyle name="Normal 2 2 2" xfId="418"/>
    <cellStyle name="Normal 2 2 2 2" xfId="419"/>
    <cellStyle name="Normal 2 2 3" xfId="420"/>
    <cellStyle name="Normal 2 2 4" xfId="421"/>
    <cellStyle name="Normal 2 20" xfId="422"/>
    <cellStyle name="Normal 2 21" xfId="423"/>
    <cellStyle name="Normal 2 22" xfId="424"/>
    <cellStyle name="Normal 2 23" xfId="425"/>
    <cellStyle name="Normal 2 24" xfId="426"/>
    <cellStyle name="Normal 2 25" xfId="427"/>
    <cellStyle name="Normal 2 26" xfId="428"/>
    <cellStyle name="Normal 2 27" xfId="429"/>
    <cellStyle name="Normal 2 28" xfId="430"/>
    <cellStyle name="Normal 2 29" xfId="431"/>
    <cellStyle name="Normal 2 3" xfId="432"/>
    <cellStyle name="Normal 2 3 2" xfId="433"/>
    <cellStyle name="Normal 2 3 3" xfId="434"/>
    <cellStyle name="Normal 2 30" xfId="435"/>
    <cellStyle name="Normal 2 31" xfId="436"/>
    <cellStyle name="Normal 2 32" xfId="437"/>
    <cellStyle name="Normal 2 33" xfId="438"/>
    <cellStyle name="Normal 2 34" xfId="439"/>
    <cellStyle name="Normal 2 35" xfId="440"/>
    <cellStyle name="Normal 2 36" xfId="441"/>
    <cellStyle name="Normal 2 37" xfId="442"/>
    <cellStyle name="Normal 2 38" xfId="443"/>
    <cellStyle name="Normal 2 39" xfId="444"/>
    <cellStyle name="Normal 2 4" xfId="445"/>
    <cellStyle name="Normal 2 4 2" xfId="446"/>
    <cellStyle name="Normal 2 4 3" xfId="447"/>
    <cellStyle name="Normal 2 4 4" xfId="448"/>
    <cellStyle name="Normal 2 40" xfId="449"/>
    <cellStyle name="Normal 2 41" xfId="450"/>
    <cellStyle name="Normal 2 42" xfId="451"/>
    <cellStyle name="Normal 2 43" xfId="452"/>
    <cellStyle name="Normal 2 44" xfId="453"/>
    <cellStyle name="Normal 2 45" xfId="454"/>
    <cellStyle name="Normal 2 45 10" xfId="455"/>
    <cellStyle name="Normal 2 45 11" xfId="456"/>
    <cellStyle name="Normal 2 45 12" xfId="457"/>
    <cellStyle name="Normal 2 45 13" xfId="458"/>
    <cellStyle name="Normal 2 45 14" xfId="459"/>
    <cellStyle name="Normal 2 45 15" xfId="460"/>
    <cellStyle name="Normal 2 45 16" xfId="461"/>
    <cellStyle name="Normal 2 45 17" xfId="462"/>
    <cellStyle name="Normal 2 45 18" xfId="463"/>
    <cellStyle name="Normal 2 45 19" xfId="464"/>
    <cellStyle name="Normal 2 45 2" xfId="465"/>
    <cellStyle name="Normal 2 45 20" xfId="466"/>
    <cellStyle name="Normal 2 45 21" xfId="467"/>
    <cellStyle name="Normal 2 45 22" xfId="468"/>
    <cellStyle name="Normal 2 45 23" xfId="469"/>
    <cellStyle name="Normal 2 45 24" xfId="470"/>
    <cellStyle name="Normal 2 45 25" xfId="471"/>
    <cellStyle name="Normal 2 45 26" xfId="472"/>
    <cellStyle name="Normal 2 45 27" xfId="473"/>
    <cellStyle name="Normal 2 45 28" xfId="474"/>
    <cellStyle name="Normal 2 45 29" xfId="475"/>
    <cellStyle name="Normal 2 45 3" xfId="476"/>
    <cellStyle name="Normal 2 45 30" xfId="477"/>
    <cellStyle name="Normal 2 45 31" xfId="478"/>
    <cellStyle name="Normal 2 45 32" xfId="479"/>
    <cellStyle name="Normal 2 45 33" xfId="480"/>
    <cellStyle name="Normal 2 45 34" xfId="481"/>
    <cellStyle name="Normal 2 45 35" xfId="482"/>
    <cellStyle name="Normal 2 45 36" xfId="483"/>
    <cellStyle name="Normal 2 45 37" xfId="484"/>
    <cellStyle name="Normal 2 45 38" xfId="485"/>
    <cellStyle name="Normal 2 45 39" xfId="486"/>
    <cellStyle name="Normal 2 45 4" xfId="487"/>
    <cellStyle name="Normal 2 45 40" xfId="488"/>
    <cellStyle name="Normal 2 45 41" xfId="489"/>
    <cellStyle name="Normal 2 45 42" xfId="490"/>
    <cellStyle name="Normal 2 45 43" xfId="491"/>
    <cellStyle name="Normal 2 45 44" xfId="492"/>
    <cellStyle name="Normal 2 45 45" xfId="493"/>
    <cellStyle name="Normal 2 45 46" xfId="494"/>
    <cellStyle name="Normal 2 45 47" xfId="495"/>
    <cellStyle name="Normal 2 45 48" xfId="496"/>
    <cellStyle name="Normal 2 45 49" xfId="497"/>
    <cellStyle name="Normal 2 45 5" xfId="498"/>
    <cellStyle name="Normal 2 45 50" xfId="499"/>
    <cellStyle name="Normal 2 45 51" xfId="500"/>
    <cellStyle name="Normal 2 45 52" xfId="501"/>
    <cellStyle name="Normal 2 45 53" xfId="502"/>
    <cellStyle name="Normal 2 45 54" xfId="503"/>
    <cellStyle name="Normal 2 45 55" xfId="504"/>
    <cellStyle name="Normal 2 45 56" xfId="505"/>
    <cellStyle name="Normal 2 45 57" xfId="506"/>
    <cellStyle name="Normal 2 45 58" xfId="507"/>
    <cellStyle name="Normal 2 45 59" xfId="508"/>
    <cellStyle name="Normal 2 45 6" xfId="509"/>
    <cellStyle name="Normal 2 45 7" xfId="510"/>
    <cellStyle name="Normal 2 45 8" xfId="511"/>
    <cellStyle name="Normal 2 45 9" xfId="512"/>
    <cellStyle name="Normal 2 46" xfId="513"/>
    <cellStyle name="Normal 2 47" xfId="514"/>
    <cellStyle name="Normal 2 48" xfId="515"/>
    <cellStyle name="Normal 2 49" xfId="516"/>
    <cellStyle name="Normal 2 5" xfId="517"/>
    <cellStyle name="Normal 2 5 2" xfId="518"/>
    <cellStyle name="Normal 2 5 3" xfId="519"/>
    <cellStyle name="Normal 2 5 3 2" xfId="520"/>
    <cellStyle name="Normal 2 5 4" xfId="521"/>
    <cellStyle name="Normal 2 50" xfId="522"/>
    <cellStyle name="Normal 2 51" xfId="523"/>
    <cellStyle name="Normal 2 52" xfId="524"/>
    <cellStyle name="Normal 2 53" xfId="525"/>
    <cellStyle name="Normal 2 54" xfId="526"/>
    <cellStyle name="Normal 2 55" xfId="527"/>
    <cellStyle name="Normal 2 56" xfId="528"/>
    <cellStyle name="Normal 2 57" xfId="529"/>
    <cellStyle name="Normal 2 58" xfId="530"/>
    <cellStyle name="Normal 2 59" xfId="531"/>
    <cellStyle name="Normal 2 6" xfId="532"/>
    <cellStyle name="Normal 2 6 2" xfId="533"/>
    <cellStyle name="Normal 2 60" xfId="534"/>
    <cellStyle name="Normal 2 61" xfId="535"/>
    <cellStyle name="Normal 2 62" xfId="536"/>
    <cellStyle name="Normal 2 63" xfId="537"/>
    <cellStyle name="Normal 2 64" xfId="538"/>
    <cellStyle name="Normal 2 65" xfId="539"/>
    <cellStyle name="Normal 2 66" xfId="540"/>
    <cellStyle name="Normal 2 67" xfId="541"/>
    <cellStyle name="Normal 2 68" xfId="542"/>
    <cellStyle name="Normal 2 69" xfId="543"/>
    <cellStyle name="Normal 2 7" xfId="544"/>
    <cellStyle name="Normal 2 70" xfId="545"/>
    <cellStyle name="Normal 2 71" xfId="546"/>
    <cellStyle name="Normal 2 72" xfId="547"/>
    <cellStyle name="Normal 2 73" xfId="548"/>
    <cellStyle name="Normal 2 74" xfId="549"/>
    <cellStyle name="Normal 2 75" xfId="550"/>
    <cellStyle name="Normal 2 76" xfId="551"/>
    <cellStyle name="Normal 2 77" xfId="552"/>
    <cellStyle name="Normal 2 78" xfId="553"/>
    <cellStyle name="Normal 2 79" xfId="554"/>
    <cellStyle name="Normal 2 8" xfId="555"/>
    <cellStyle name="Normal 2 80" xfId="556"/>
    <cellStyle name="Normal 2 81" xfId="557"/>
    <cellStyle name="Normal 2 82" xfId="558"/>
    <cellStyle name="Normal 2 83" xfId="559"/>
    <cellStyle name="Normal 2 84" xfId="560"/>
    <cellStyle name="Normal 2 85" xfId="561"/>
    <cellStyle name="Normal 2 86" xfId="562"/>
    <cellStyle name="Normal 2 87" xfId="563"/>
    <cellStyle name="Normal 2 88" xfId="564"/>
    <cellStyle name="Normal 2 89" xfId="565"/>
    <cellStyle name="Normal 2 9" xfId="566"/>
    <cellStyle name="Normal 2 90" xfId="567"/>
    <cellStyle name="Normal 2 91" xfId="568"/>
    <cellStyle name="Normal 2 92" xfId="569"/>
    <cellStyle name="Normal 2 93" xfId="570"/>
    <cellStyle name="Normal 2 94" xfId="571"/>
    <cellStyle name="Normal 2 95" xfId="572"/>
    <cellStyle name="Normal 2 96" xfId="573"/>
    <cellStyle name="Normal 2 97" xfId="574"/>
    <cellStyle name="Normal 2 98" xfId="575"/>
    <cellStyle name="Normal 2 99" xfId="576"/>
    <cellStyle name="Normal 20" xfId="577"/>
    <cellStyle name="Normal 20 2" xfId="578"/>
    <cellStyle name="Normal 20 3" xfId="579"/>
    <cellStyle name="Normal 20 4" xfId="580"/>
    <cellStyle name="Normal 21" xfId="581"/>
    <cellStyle name="Normal 21 2" xfId="582"/>
    <cellStyle name="Normal 21 3" xfId="583"/>
    <cellStyle name="Normal 21 4" xfId="584"/>
    <cellStyle name="Normal 22" xfId="585"/>
    <cellStyle name="Normal 22 2" xfId="586"/>
    <cellStyle name="Normal 22 3" xfId="587"/>
    <cellStyle name="Normal 22 4" xfId="588"/>
    <cellStyle name="Normal 23" xfId="589"/>
    <cellStyle name="Normal 23 2" xfId="590"/>
    <cellStyle name="Normal 23 3" xfId="591"/>
    <cellStyle name="Normal 24" xfId="592"/>
    <cellStyle name="Normal 24 2" xfId="593"/>
    <cellStyle name="Normal 24 3" xfId="594"/>
    <cellStyle name="Normal 25" xfId="595"/>
    <cellStyle name="Normal 26" xfId="596"/>
    <cellStyle name="Normal 27" xfId="597"/>
    <cellStyle name="Normal 28" xfId="598"/>
    <cellStyle name="Normal 29" xfId="599"/>
    <cellStyle name="Normal 3" xfId="600"/>
    <cellStyle name="Normal 3 2" xfId="601"/>
    <cellStyle name="Normal 3 2 2" xfId="602"/>
    <cellStyle name="Normal 3 3" xfId="603"/>
    <cellStyle name="Normal 3 3 2" xfId="604"/>
    <cellStyle name="Normal 3 3 3" xfId="605"/>
    <cellStyle name="Normal 3 4" xfId="606"/>
    <cellStyle name="Normal 3 5" xfId="607"/>
    <cellStyle name="Normal 3 6" xfId="950"/>
    <cellStyle name="Normal 30" xfId="608"/>
    <cellStyle name="Normal 31" xfId="609"/>
    <cellStyle name="Normal 32" xfId="610"/>
    <cellStyle name="Normal 33" xfId="611"/>
    <cellStyle name="Normal 34" xfId="612"/>
    <cellStyle name="Normal 35" xfId="613"/>
    <cellStyle name="Normal 36" xfId="614"/>
    <cellStyle name="Normal 37" xfId="615"/>
    <cellStyle name="Normal 38" xfId="616"/>
    <cellStyle name="Normal 39" xfId="617"/>
    <cellStyle name="Normal 4" xfId="618"/>
    <cellStyle name="Normal 4 2" xfId="619"/>
    <cellStyle name="Normal 4 2 2" xfId="620"/>
    <cellStyle name="Normal 4 3" xfId="621"/>
    <cellStyle name="Normal 4 4" xfId="622"/>
    <cellStyle name="Normal 4 5" xfId="951"/>
    <cellStyle name="Normal 40" xfId="623"/>
    <cellStyle name="Normal 41" xfId="624"/>
    <cellStyle name="Normal 42" xfId="625"/>
    <cellStyle name="Normal 43" xfId="626"/>
    <cellStyle name="Normal 44" xfId="627"/>
    <cellStyle name="Normal 45" xfId="628"/>
    <cellStyle name="Normal 46" xfId="629"/>
    <cellStyle name="Normal 47" xfId="630"/>
    <cellStyle name="Normal 48" xfId="631"/>
    <cellStyle name="Normal 49" xfId="632"/>
    <cellStyle name="Normal 5" xfId="633"/>
    <cellStyle name="Normal 5 10" xfId="634"/>
    <cellStyle name="Normal 5 11" xfId="635"/>
    <cellStyle name="Normal 5 12" xfId="636"/>
    <cellStyle name="Normal 5 13" xfId="637"/>
    <cellStyle name="Normal 5 14" xfId="638"/>
    <cellStyle name="Normal 5 15" xfId="639"/>
    <cellStyle name="Normal 5 16" xfId="640"/>
    <cellStyle name="Normal 5 17" xfId="641"/>
    <cellStyle name="Normal 5 18" xfId="642"/>
    <cellStyle name="Normal 5 19" xfId="643"/>
    <cellStyle name="Normal 5 2" xfId="644"/>
    <cellStyle name="Normal 5 20" xfId="645"/>
    <cellStyle name="Normal 5 21" xfId="646"/>
    <cellStyle name="Normal 5 22" xfId="647"/>
    <cellStyle name="Normal 5 23" xfId="648"/>
    <cellStyle name="Normal 5 24" xfId="649"/>
    <cellStyle name="Normal 5 25" xfId="650"/>
    <cellStyle name="Normal 5 26" xfId="651"/>
    <cellStyle name="Normal 5 27" xfId="652"/>
    <cellStyle name="Normal 5 28" xfId="653"/>
    <cellStyle name="Normal 5 28 10" xfId="654"/>
    <cellStyle name="Normal 5 28 11" xfId="655"/>
    <cellStyle name="Normal 5 28 12" xfId="656"/>
    <cellStyle name="Normal 5 28 13" xfId="657"/>
    <cellStyle name="Normal 5 28 14" xfId="658"/>
    <cellStyle name="Normal 5 28 15" xfId="659"/>
    <cellStyle name="Normal 5 28 16" xfId="660"/>
    <cellStyle name="Normal 5 28 17" xfId="661"/>
    <cellStyle name="Normal 5 28 18" xfId="662"/>
    <cellStyle name="Normal 5 28 19" xfId="663"/>
    <cellStyle name="Normal 5 28 2" xfId="664"/>
    <cellStyle name="Normal 5 28 20" xfId="665"/>
    <cellStyle name="Normal 5 28 21" xfId="666"/>
    <cellStyle name="Normal 5 28 22" xfId="667"/>
    <cellStyle name="Normal 5 28 23" xfId="668"/>
    <cellStyle name="Normal 5 28 24" xfId="669"/>
    <cellStyle name="Normal 5 28 25" xfId="670"/>
    <cellStyle name="Normal 5 28 3" xfId="671"/>
    <cellStyle name="Normal 5 28 4" xfId="672"/>
    <cellStyle name="Normal 5 28 5" xfId="673"/>
    <cellStyle name="Normal 5 28 6" xfId="674"/>
    <cellStyle name="Normal 5 28 7" xfId="675"/>
    <cellStyle name="Normal 5 28 8" xfId="676"/>
    <cellStyle name="Normal 5 28 9" xfId="677"/>
    <cellStyle name="Normal 5 29" xfId="678"/>
    <cellStyle name="Normal 5 3" xfId="679"/>
    <cellStyle name="Normal 5 4" xfId="680"/>
    <cellStyle name="Normal 5 5" xfId="681"/>
    <cellStyle name="Normal 5 6" xfId="682"/>
    <cellStyle name="Normal 5 7" xfId="683"/>
    <cellStyle name="Normal 5 8" xfId="684"/>
    <cellStyle name="Normal 5 9" xfId="685"/>
    <cellStyle name="Normal 50" xfId="686"/>
    <cellStyle name="Normal 51" xfId="687"/>
    <cellStyle name="Normal 52" xfId="688"/>
    <cellStyle name="Normal 53" xfId="689"/>
    <cellStyle name="Normal 54" xfId="690"/>
    <cellStyle name="Normal 55" xfId="691"/>
    <cellStyle name="Normal 56" xfId="2"/>
    <cellStyle name="Normal 56 2" xfId="692"/>
    <cellStyle name="Normal 57" xfId="693"/>
    <cellStyle name="Normal 58" xfId="694"/>
    <cellStyle name="Normal 59" xfId="695"/>
    <cellStyle name="Normal 6" xfId="696"/>
    <cellStyle name="Normal 6 2" xfId="697"/>
    <cellStyle name="Normal 6 2 2" xfId="698"/>
    <cellStyle name="Normal 6 2 3" xfId="699"/>
    <cellStyle name="Normal 6 3" xfId="700"/>
    <cellStyle name="Normal 6 4" xfId="701"/>
    <cellStyle name="Normal 60" xfId="702"/>
    <cellStyle name="Normal 61" xfId="703"/>
    <cellStyle name="Normal 62" xfId="704"/>
    <cellStyle name="Normal 63" xfId="705"/>
    <cellStyle name="Normal 64" xfId="706"/>
    <cellStyle name="Normal 65" xfId="707"/>
    <cellStyle name="Normal 66" xfId="708"/>
    <cellStyle name="Normal 67" xfId="709"/>
    <cellStyle name="Normal 68" xfId="710"/>
    <cellStyle name="Normal 69" xfId="711"/>
    <cellStyle name="Normal 7" xfId="712"/>
    <cellStyle name="Normal 7 2" xfId="713"/>
    <cellStyle name="Normal 7 3" xfId="714"/>
    <cellStyle name="Normal 7 4" xfId="715"/>
    <cellStyle name="Normal 70" xfId="716"/>
    <cellStyle name="Normal 71" xfId="717"/>
    <cellStyle name="Normal 72" xfId="718"/>
    <cellStyle name="Normal 73" xfId="719"/>
    <cellStyle name="Normal 74" xfId="720"/>
    <cellStyle name="Normal 75" xfId="721"/>
    <cellStyle name="Normal 76" xfId="722"/>
    <cellStyle name="Normal 77" xfId="723"/>
    <cellStyle name="Normal 78" xfId="724"/>
    <cellStyle name="Normal 79" xfId="725"/>
    <cellStyle name="Normal 79 2" xfId="726"/>
    <cellStyle name="Normal 79 3" xfId="727"/>
    <cellStyle name="Normal 8" xfId="728"/>
    <cellStyle name="Normal 8 2" xfId="729"/>
    <cellStyle name="Normal 8 3" xfId="730"/>
    <cellStyle name="Normal 8 4" xfId="731"/>
    <cellStyle name="Normal 80" xfId="732"/>
    <cellStyle name="Normal 80 2" xfId="733"/>
    <cellStyle name="Normal 81" xfId="734"/>
    <cellStyle name="Normal 81 2" xfId="735"/>
    <cellStyle name="Normal 82" xfId="736"/>
    <cellStyle name="Normal 82 2" xfId="737"/>
    <cellStyle name="Normal 82 2 2" xfId="738"/>
    <cellStyle name="Normal 83" xfId="739"/>
    <cellStyle name="Normal 83 2" xfId="740"/>
    <cellStyle name="Normal 83 2 2" xfId="741"/>
    <cellStyle name="Normal 84" xfId="742"/>
    <cellStyle name="Normal 84 2" xfId="743"/>
    <cellStyle name="Normal 84 3" xfId="744"/>
    <cellStyle name="Normal 85" xfId="745"/>
    <cellStyle name="Normal 85 2" xfId="746"/>
    <cellStyle name="Normal 85 3" xfId="747"/>
    <cellStyle name="Normal 86" xfId="748"/>
    <cellStyle name="Normal 86 2" xfId="749"/>
    <cellStyle name="Normal 86 3" xfId="750"/>
    <cellStyle name="Normal 87" xfId="751"/>
    <cellStyle name="Normal 87 2" xfId="752"/>
    <cellStyle name="Normal 87 3" xfId="753"/>
    <cellStyle name="Normal 88" xfId="754"/>
    <cellStyle name="Normal 88 2" xfId="755"/>
    <cellStyle name="Normal 88 3" xfId="756"/>
    <cellStyle name="Normal 88 4" xfId="757"/>
    <cellStyle name="Normal 89" xfId="758"/>
    <cellStyle name="Normal 9" xfId="759"/>
    <cellStyle name="Normal 9 2" xfId="760"/>
    <cellStyle name="Normal 9 3" xfId="761"/>
    <cellStyle name="Normal 9 4" xfId="762"/>
    <cellStyle name="Normal 90" xfId="763"/>
    <cellStyle name="Normal 91" xfId="764"/>
    <cellStyle name="Normal 92" xfId="765"/>
    <cellStyle name="Normal 93" xfId="766"/>
    <cellStyle name="Normal 94" xfId="767"/>
    <cellStyle name="Normal 94 2" xfId="768"/>
    <cellStyle name="Normal 95" xfId="769"/>
    <cellStyle name="Normal 95 2" xfId="770"/>
    <cellStyle name="Normal 95 3" xfId="771"/>
    <cellStyle name="Normal 96" xfId="772"/>
    <cellStyle name="Normal 97" xfId="773"/>
    <cellStyle name="Normal 97 2" xfId="774"/>
    <cellStyle name="Normal 98" xfId="775"/>
    <cellStyle name="Normal 98 2" xfId="776"/>
    <cellStyle name="Normal 99" xfId="777"/>
    <cellStyle name="Normal 99 2" xfId="778"/>
    <cellStyle name="Normal_7 DIAS" xfId="3"/>
    <cellStyle name="Notas 2" xfId="779"/>
    <cellStyle name="Notas 2 2" xfId="780"/>
    <cellStyle name="Notas 2 3" xfId="781"/>
    <cellStyle name="Notas 3" xfId="782"/>
    <cellStyle name="Notas 4" xfId="783"/>
    <cellStyle name="Porcentaje" xfId="1" builtinId="5"/>
    <cellStyle name="Porcentaje 2" xfId="784"/>
    <cellStyle name="Porcentaje 2 2" xfId="785"/>
    <cellStyle name="Porcentaje 3" xfId="952"/>
    <cellStyle name="Punto" xfId="953"/>
    <cellStyle name="Punto0" xfId="954"/>
    <cellStyle name="Salida 2" xfId="786"/>
    <cellStyle name="Salida 3" xfId="787"/>
    <cellStyle name="Salida 4" xfId="788"/>
    <cellStyle name="Texto de advertencia 2" xfId="789"/>
    <cellStyle name="Texto de advertencia 3" xfId="790"/>
    <cellStyle name="Texto de advertencia 4" xfId="791"/>
    <cellStyle name="Texto explicativo 2" xfId="792"/>
    <cellStyle name="Texto explicativo 3" xfId="793"/>
    <cellStyle name="Texto explicativo 4" xfId="794"/>
    <cellStyle name="Título 1 2" xfId="795"/>
    <cellStyle name="Título 2 2" xfId="796"/>
    <cellStyle name="Título 2 3" xfId="797"/>
    <cellStyle name="Título 2 4" xfId="798"/>
    <cellStyle name="Título 3 2" xfId="799"/>
    <cellStyle name="Título 3 3" xfId="800"/>
    <cellStyle name="Título 3 4" xfId="801"/>
    <cellStyle name="Título 4" xfId="802"/>
    <cellStyle name="Título 5" xfId="803"/>
    <cellStyle name="Título 6" xfId="804"/>
    <cellStyle name="Total 2" xfId="806"/>
    <cellStyle name="Total 2 2" xfId="955"/>
    <cellStyle name="Total 3" xfId="807"/>
    <cellStyle name="Total 4" xfId="808"/>
    <cellStyle name="Total 5" xfId="8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opLeftCell="A127" workbookViewId="0">
      <selection activeCell="E151" sqref="E151"/>
    </sheetView>
  </sheetViews>
  <sheetFormatPr baseColWidth="10" defaultColWidth="9" defaultRowHeight="14.25"/>
  <cols>
    <col min="1" max="1" width="26.625" style="10" customWidth="1"/>
    <col min="2" max="2" width="16.75" bestFit="1" customWidth="1"/>
    <col min="4" max="4" width="10.625" bestFit="1" customWidth="1"/>
    <col min="6" max="6" width="10.875" bestFit="1" customWidth="1"/>
    <col min="8" max="8" width="13.375" bestFit="1" customWidth="1"/>
  </cols>
  <sheetData>
    <row r="1" spans="1:8">
      <c r="A1" s="10" t="s">
        <v>0</v>
      </c>
      <c r="B1" t="s">
        <v>1</v>
      </c>
      <c r="D1" t="s">
        <v>2</v>
      </c>
      <c r="F1" t="s">
        <v>3</v>
      </c>
      <c r="H1" t="s">
        <v>4</v>
      </c>
    </row>
    <row r="2" spans="1:8">
      <c r="A2" s="9">
        <v>46101</v>
      </c>
      <c r="B2" s="1">
        <v>12581.194</v>
      </c>
      <c r="D2" s="1">
        <v>3</v>
      </c>
      <c r="F2" s="1">
        <v>5</v>
      </c>
      <c r="H2" s="1">
        <v>4.8399999999999999E-2</v>
      </c>
    </row>
    <row r="3" spans="1:8">
      <c r="A3" s="9">
        <v>46104</v>
      </c>
      <c r="B3" s="1">
        <v>7000</v>
      </c>
      <c r="D3" s="1">
        <v>5</v>
      </c>
      <c r="F3" s="1">
        <v>5</v>
      </c>
      <c r="H3" s="1">
        <v>0.05</v>
      </c>
    </row>
    <row r="4" spans="1:8">
      <c r="A4" s="9">
        <v>46105</v>
      </c>
      <c r="B4" s="1">
        <v>0</v>
      </c>
      <c r="D4" s="1">
        <v>0</v>
      </c>
      <c r="F4" s="1">
        <v>0</v>
      </c>
      <c r="H4" s="1">
        <v>0</v>
      </c>
    </row>
    <row r="5" spans="1:8">
      <c r="A5" s="9">
        <v>46106</v>
      </c>
      <c r="B5" s="1">
        <v>31373.66</v>
      </c>
      <c r="D5" s="1">
        <v>0.1</v>
      </c>
      <c r="F5" s="1">
        <v>15</v>
      </c>
      <c r="H5" s="1">
        <v>9.2499999999999999E-2</v>
      </c>
    </row>
    <row r="6" spans="1:8">
      <c r="A6" s="9">
        <v>46107</v>
      </c>
      <c r="B6" s="1">
        <v>0</v>
      </c>
      <c r="D6" s="1">
        <v>0</v>
      </c>
      <c r="F6" s="1">
        <v>0</v>
      </c>
      <c r="H6" s="1">
        <v>0</v>
      </c>
    </row>
    <row r="7" spans="1:8">
      <c r="A7" s="9">
        <v>46108</v>
      </c>
      <c r="B7" s="1">
        <v>17816.601900000001</v>
      </c>
      <c r="D7" s="1">
        <v>3</v>
      </c>
      <c r="F7" s="1">
        <v>15</v>
      </c>
      <c r="H7" s="1">
        <v>5.8799999999999998E-2</v>
      </c>
    </row>
    <row r="8" spans="1:8">
      <c r="A8" s="9">
        <v>46111</v>
      </c>
      <c r="B8" s="1">
        <v>0</v>
      </c>
      <c r="D8" s="1">
        <v>0</v>
      </c>
      <c r="F8" s="1">
        <v>0</v>
      </c>
      <c r="H8" s="1">
        <v>0</v>
      </c>
    </row>
    <row r="9" spans="1:8">
      <c r="A9" s="9">
        <v>46112</v>
      </c>
      <c r="B9" s="1">
        <v>0</v>
      </c>
      <c r="D9" s="1">
        <v>0</v>
      </c>
      <c r="F9" s="1">
        <v>0</v>
      </c>
      <c r="H9" s="1">
        <v>0</v>
      </c>
    </row>
    <row r="10" spans="1:8">
      <c r="A10" s="9">
        <v>46113</v>
      </c>
      <c r="B10" s="1">
        <v>0</v>
      </c>
      <c r="D10" s="1">
        <v>0</v>
      </c>
      <c r="F10" s="1">
        <v>0</v>
      </c>
      <c r="H10" s="1">
        <v>0</v>
      </c>
    </row>
    <row r="11" spans="1:8">
      <c r="A11" s="9">
        <v>46118</v>
      </c>
      <c r="B11" s="1">
        <v>2034.26</v>
      </c>
      <c r="D11" s="1">
        <v>90</v>
      </c>
      <c r="F11" s="1">
        <v>100</v>
      </c>
      <c r="H11" s="1">
        <v>0.95</v>
      </c>
    </row>
    <row r="12" spans="1:8">
      <c r="A12" s="9">
        <v>46119</v>
      </c>
      <c r="B12" s="1">
        <v>2105.5</v>
      </c>
      <c r="D12" s="1">
        <v>100</v>
      </c>
      <c r="F12" s="1">
        <v>101</v>
      </c>
      <c r="H12" s="1">
        <v>1.0046999999999999</v>
      </c>
    </row>
    <row r="13" spans="1:8">
      <c r="A13" s="9">
        <v>46120</v>
      </c>
      <c r="B13" s="1">
        <v>3874.3249999999998</v>
      </c>
      <c r="D13" s="1">
        <v>100</v>
      </c>
      <c r="F13" s="1">
        <v>110</v>
      </c>
      <c r="H13" s="1">
        <v>1.0604</v>
      </c>
    </row>
    <row r="14" spans="1:8">
      <c r="A14" s="9">
        <v>46121</v>
      </c>
      <c r="B14" s="1">
        <v>5291.1750000000002</v>
      </c>
      <c r="D14" s="1">
        <v>120</v>
      </c>
      <c r="F14" s="1">
        <v>120</v>
      </c>
      <c r="H14" s="1">
        <v>120</v>
      </c>
    </row>
    <row r="15" spans="1:8">
      <c r="A15" s="9">
        <v>46122</v>
      </c>
      <c r="B15" s="1">
        <v>8851</v>
      </c>
      <c r="D15" s="1">
        <v>35</v>
      </c>
      <c r="F15" s="1">
        <v>200</v>
      </c>
      <c r="H15" s="1">
        <v>0.35270000000000001</v>
      </c>
    </row>
    <row r="16" spans="1:8">
      <c r="A16" s="9">
        <v>46125</v>
      </c>
      <c r="B16" s="1">
        <v>0</v>
      </c>
      <c r="D16" s="1">
        <v>0</v>
      </c>
      <c r="F16" s="1">
        <v>0</v>
      </c>
      <c r="H16" s="1">
        <v>0</v>
      </c>
    </row>
    <row r="17" spans="1:8">
      <c r="A17" s="9">
        <v>46126</v>
      </c>
      <c r="B17" s="1">
        <v>0</v>
      </c>
      <c r="D17" s="1">
        <v>0</v>
      </c>
      <c r="F17" s="1">
        <v>0</v>
      </c>
      <c r="H17" s="1">
        <v>0</v>
      </c>
    </row>
    <row r="18" spans="1:8">
      <c r="A18" s="9">
        <v>46127</v>
      </c>
      <c r="B18" s="1">
        <v>0</v>
      </c>
      <c r="D18" s="1">
        <v>0</v>
      </c>
      <c r="F18" s="1">
        <v>0</v>
      </c>
      <c r="H18" s="1">
        <v>0</v>
      </c>
    </row>
    <row r="19" spans="1:8">
      <c r="A19" s="9">
        <v>46128</v>
      </c>
      <c r="B19" s="1">
        <v>0</v>
      </c>
      <c r="D19" s="1">
        <v>0</v>
      </c>
      <c r="F19" s="1">
        <v>0</v>
      </c>
      <c r="H19" s="1">
        <v>0</v>
      </c>
    </row>
    <row r="20" spans="1:8">
      <c r="A20" s="9">
        <v>46129</v>
      </c>
      <c r="B20" s="1">
        <v>0</v>
      </c>
      <c r="D20" s="1">
        <v>0</v>
      </c>
      <c r="F20" s="1">
        <v>0</v>
      </c>
      <c r="H20" s="1">
        <v>0</v>
      </c>
    </row>
    <row r="21" spans="1:8">
      <c r="A21" s="9">
        <v>46132</v>
      </c>
      <c r="B21" s="1">
        <v>0</v>
      </c>
      <c r="D21" s="1">
        <v>0</v>
      </c>
      <c r="F21" s="1">
        <v>0</v>
      </c>
      <c r="H21" s="1">
        <v>0</v>
      </c>
    </row>
    <row r="22" spans="1:8">
      <c r="A22" s="9">
        <v>46133</v>
      </c>
      <c r="B22" s="1">
        <v>0</v>
      </c>
      <c r="D22" s="1">
        <v>0</v>
      </c>
      <c r="F22" s="1">
        <v>0</v>
      </c>
      <c r="H22" s="1">
        <v>0</v>
      </c>
    </row>
    <row r="23" spans="1:8">
      <c r="A23" s="9">
        <v>46134</v>
      </c>
      <c r="B23" s="1">
        <v>300</v>
      </c>
      <c r="D23" s="1">
        <v>100</v>
      </c>
      <c r="F23" s="1">
        <v>140</v>
      </c>
      <c r="H23" s="1">
        <v>120</v>
      </c>
    </row>
    <row r="24" spans="1:8">
      <c r="A24" s="9">
        <v>46135</v>
      </c>
      <c r="B24" s="1">
        <v>38366.589999999997</v>
      </c>
      <c r="D24" s="1">
        <v>100</v>
      </c>
      <c r="F24" s="1">
        <v>100.01</v>
      </c>
      <c r="H24" s="1">
        <v>100</v>
      </c>
    </row>
    <row r="25" spans="1:8">
      <c r="A25" s="9">
        <v>46136</v>
      </c>
      <c r="B25" s="1">
        <v>146.97</v>
      </c>
      <c r="D25" s="1">
        <v>35</v>
      </c>
      <c r="F25" s="1">
        <v>35</v>
      </c>
      <c r="H25" s="1">
        <v>35</v>
      </c>
    </row>
    <row r="26" spans="1:8">
      <c r="A26" s="9">
        <v>46139</v>
      </c>
      <c r="B26" s="1">
        <v>0</v>
      </c>
      <c r="D26" s="1">
        <v>0</v>
      </c>
      <c r="F26" s="1">
        <v>0</v>
      </c>
      <c r="H26" s="1">
        <v>0</v>
      </c>
    </row>
    <row r="27" spans="1:8">
      <c r="A27" s="9">
        <v>46140</v>
      </c>
      <c r="B27" s="1">
        <v>0</v>
      </c>
      <c r="D27" s="1">
        <v>0</v>
      </c>
      <c r="F27" s="1">
        <v>0</v>
      </c>
      <c r="H27" s="1">
        <v>0</v>
      </c>
    </row>
    <row r="28" spans="1:8">
      <c r="A28" s="9">
        <v>46141</v>
      </c>
      <c r="B28" s="1">
        <v>0</v>
      </c>
      <c r="D28" s="1">
        <v>0</v>
      </c>
      <c r="F28" s="1">
        <v>0</v>
      </c>
      <c r="H28" s="1">
        <v>0</v>
      </c>
    </row>
    <row r="29" spans="1:8">
      <c r="A29" s="9">
        <v>46142</v>
      </c>
      <c r="B29" s="1">
        <v>37961.673699999999</v>
      </c>
      <c r="C29" s="7"/>
      <c r="D29" s="1">
        <v>15</v>
      </c>
      <c r="E29" s="7"/>
      <c r="F29" s="1">
        <v>25</v>
      </c>
      <c r="G29" s="7"/>
      <c r="H29" s="1">
        <v>18.43</v>
      </c>
    </row>
    <row r="30" spans="1:8">
      <c r="A30" s="9">
        <v>46146</v>
      </c>
      <c r="B30" s="1">
        <v>0</v>
      </c>
      <c r="C30" s="8"/>
      <c r="D30" s="1">
        <v>0</v>
      </c>
      <c r="E30" s="8"/>
      <c r="F30" s="1">
        <v>0</v>
      </c>
      <c r="G30" s="8"/>
      <c r="H30" s="1">
        <v>0</v>
      </c>
    </row>
    <row r="31" spans="1:8">
      <c r="A31" s="9">
        <v>46147</v>
      </c>
      <c r="B31" s="1">
        <v>39236.082000000002</v>
      </c>
      <c r="C31" s="8"/>
      <c r="D31" s="1">
        <v>100</v>
      </c>
      <c r="E31" s="8"/>
      <c r="F31" s="1">
        <v>100</v>
      </c>
      <c r="G31" s="8"/>
      <c r="H31" s="1">
        <v>100</v>
      </c>
    </row>
    <row r="32" spans="1:8">
      <c r="A32" s="9">
        <v>46148</v>
      </c>
      <c r="B32" s="1">
        <v>1200</v>
      </c>
      <c r="C32" s="8"/>
      <c r="D32" s="1">
        <v>100</v>
      </c>
      <c r="E32" s="8"/>
      <c r="F32" s="1">
        <v>100</v>
      </c>
      <c r="G32" s="8"/>
      <c r="H32" s="1">
        <v>100</v>
      </c>
    </row>
    <row r="33" spans="1:8">
      <c r="A33" s="20">
        <v>46149</v>
      </c>
      <c r="B33" s="16">
        <v>32505.648000000001</v>
      </c>
      <c r="C33" s="19"/>
      <c r="D33" s="16">
        <v>150</v>
      </c>
      <c r="E33" s="19"/>
      <c r="F33" s="16">
        <v>300</v>
      </c>
      <c r="G33" s="19"/>
      <c r="H33" s="16">
        <v>243.9</v>
      </c>
    </row>
    <row r="34" spans="1:8">
      <c r="A34" s="20">
        <v>46150</v>
      </c>
      <c r="B34" s="16">
        <v>8103.3360000000002</v>
      </c>
      <c r="C34" s="19"/>
      <c r="D34" s="16">
        <v>100</v>
      </c>
      <c r="E34" s="19"/>
      <c r="F34" s="16">
        <v>100</v>
      </c>
      <c r="G34" s="19"/>
      <c r="H34" s="16">
        <v>100</v>
      </c>
    </row>
    <row r="35" spans="1:8">
      <c r="A35" s="20">
        <v>46153</v>
      </c>
      <c r="B35" s="16">
        <v>30219.955319000001</v>
      </c>
      <c r="C35" s="19"/>
      <c r="D35" s="16">
        <v>100</v>
      </c>
      <c r="E35" s="19"/>
      <c r="F35" s="16">
        <v>110.06</v>
      </c>
      <c r="G35" s="19"/>
      <c r="H35" s="16">
        <v>109.71</v>
      </c>
    </row>
    <row r="36" spans="1:8">
      <c r="A36" s="20">
        <v>46154</v>
      </c>
      <c r="B36" s="16">
        <v>0</v>
      </c>
      <c r="C36" s="19"/>
      <c r="D36" s="16">
        <v>0</v>
      </c>
      <c r="E36" s="19"/>
      <c r="F36" s="16">
        <v>0</v>
      </c>
      <c r="G36" s="19"/>
      <c r="H36" s="16">
        <v>0</v>
      </c>
    </row>
    <row r="37" spans="1:8">
      <c r="A37" s="20">
        <v>46155</v>
      </c>
      <c r="B37" s="16">
        <v>200</v>
      </c>
      <c r="C37" s="19"/>
      <c r="D37" s="16">
        <v>100</v>
      </c>
      <c r="E37" s="19"/>
      <c r="F37" s="16">
        <v>100</v>
      </c>
      <c r="G37" s="19"/>
      <c r="H37" s="16">
        <v>100</v>
      </c>
    </row>
    <row r="38" spans="1:8">
      <c r="A38" s="20">
        <v>46156</v>
      </c>
      <c r="B38" s="16">
        <v>0</v>
      </c>
      <c r="C38" s="19"/>
      <c r="D38" s="16">
        <v>0</v>
      </c>
      <c r="E38" s="19"/>
      <c r="F38" s="16">
        <v>0</v>
      </c>
      <c r="G38" s="19"/>
      <c r="H38" s="16">
        <v>0</v>
      </c>
    </row>
    <row r="39" spans="1:8">
      <c r="A39" s="20">
        <v>46157</v>
      </c>
      <c r="B39" s="16">
        <v>0</v>
      </c>
      <c r="C39" s="27"/>
      <c r="D39" s="16">
        <v>0</v>
      </c>
      <c r="E39" s="28"/>
      <c r="F39" s="16">
        <v>0</v>
      </c>
      <c r="G39" s="28"/>
      <c r="H39" s="16">
        <v>0</v>
      </c>
    </row>
    <row r="40" spans="1:8">
      <c r="A40" s="20">
        <v>46161</v>
      </c>
      <c r="B40" s="16">
        <v>0</v>
      </c>
      <c r="D40" s="16">
        <v>0</v>
      </c>
      <c r="E40" s="28"/>
      <c r="F40" s="16">
        <v>0</v>
      </c>
      <c r="G40" s="28"/>
      <c r="H40" s="16">
        <v>0</v>
      </c>
    </row>
    <row r="41" spans="1:8">
      <c r="A41" s="20">
        <v>46162</v>
      </c>
      <c r="B41" s="16">
        <v>0</v>
      </c>
      <c r="C41" s="23"/>
      <c r="D41" s="16">
        <v>0</v>
      </c>
      <c r="E41" s="23"/>
      <c r="F41" s="16">
        <v>0</v>
      </c>
      <c r="G41" s="23"/>
      <c r="H41" s="16">
        <v>0</v>
      </c>
    </row>
    <row r="42" spans="1:8">
      <c r="A42" s="20">
        <v>46163</v>
      </c>
      <c r="B42" s="16">
        <v>5006.6000000000004</v>
      </c>
      <c r="C42" s="19"/>
      <c r="D42" s="16">
        <v>120</v>
      </c>
      <c r="E42" s="19"/>
      <c r="F42" s="16">
        <v>120</v>
      </c>
      <c r="G42" s="19"/>
      <c r="H42" s="16">
        <v>120</v>
      </c>
    </row>
    <row r="43" spans="1:8">
      <c r="A43" s="20">
        <v>46164</v>
      </c>
      <c r="B43" s="16">
        <v>0</v>
      </c>
      <c r="C43" s="19"/>
      <c r="D43" s="16">
        <v>0</v>
      </c>
      <c r="E43" s="19"/>
      <c r="F43" s="16">
        <v>0</v>
      </c>
      <c r="G43" s="19"/>
      <c r="H43" s="16">
        <v>0</v>
      </c>
    </row>
    <row r="44" spans="1:8">
      <c r="A44" s="20">
        <v>46167</v>
      </c>
      <c r="B44" s="16">
        <v>0</v>
      </c>
      <c r="C44" s="19"/>
      <c r="D44" s="16">
        <v>0</v>
      </c>
      <c r="E44" s="19"/>
      <c r="F44" s="16">
        <v>0</v>
      </c>
      <c r="G44" s="19"/>
      <c r="H44" s="16">
        <v>0</v>
      </c>
    </row>
    <row r="45" spans="1:8">
      <c r="A45" s="20">
        <v>46168</v>
      </c>
      <c r="B45" s="16">
        <v>0</v>
      </c>
      <c r="C45" s="19"/>
      <c r="D45" s="16">
        <v>0</v>
      </c>
      <c r="E45" s="19"/>
      <c r="F45" s="16">
        <v>0</v>
      </c>
      <c r="G45" s="19"/>
      <c r="H45" s="16">
        <v>0</v>
      </c>
    </row>
    <row r="46" spans="1:8">
      <c r="A46" s="20">
        <v>46169</v>
      </c>
      <c r="B46" s="16">
        <v>51256.235569999997</v>
      </c>
      <c r="C46" s="19"/>
      <c r="D46" s="16">
        <v>250</v>
      </c>
      <c r="E46" s="19"/>
      <c r="F46" s="16">
        <v>300.02</v>
      </c>
      <c r="G46" s="19"/>
      <c r="H46" s="16">
        <v>273.24</v>
      </c>
    </row>
    <row r="47" spans="1:8">
      <c r="A47" s="20">
        <v>46170</v>
      </c>
      <c r="B47" s="16">
        <v>38032.045118000002</v>
      </c>
      <c r="C47" s="19"/>
      <c r="D47" s="16">
        <v>300</v>
      </c>
      <c r="E47" s="19"/>
      <c r="F47" s="16">
        <v>330</v>
      </c>
      <c r="G47" s="19"/>
      <c r="H47" s="16">
        <v>311.49</v>
      </c>
    </row>
    <row r="48" spans="1:8">
      <c r="A48" s="20">
        <v>46171</v>
      </c>
      <c r="B48" s="16">
        <v>45546.404509</v>
      </c>
      <c r="C48" s="19"/>
      <c r="D48" s="16">
        <v>100</v>
      </c>
      <c r="E48" s="19"/>
      <c r="F48" s="16">
        <v>120</v>
      </c>
      <c r="G48" s="19"/>
      <c r="H48" s="16">
        <v>107.95</v>
      </c>
    </row>
    <row r="49" spans="1:8">
      <c r="A49" s="20">
        <v>46174</v>
      </c>
      <c r="B49" s="16">
        <v>0</v>
      </c>
      <c r="C49" s="19"/>
      <c r="D49" s="16">
        <v>0</v>
      </c>
      <c r="E49" s="19"/>
      <c r="F49" s="16">
        <v>0</v>
      </c>
      <c r="G49" s="19"/>
      <c r="H49" s="16">
        <v>0</v>
      </c>
    </row>
    <row r="50" spans="1:8">
      <c r="A50" s="20">
        <v>46175</v>
      </c>
      <c r="B50" s="16">
        <v>0</v>
      </c>
      <c r="C50" s="19"/>
      <c r="D50" s="16">
        <v>0</v>
      </c>
      <c r="E50" s="19"/>
      <c r="F50" s="16">
        <v>0</v>
      </c>
      <c r="G50" s="19"/>
      <c r="H50" s="16">
        <v>0</v>
      </c>
    </row>
    <row r="51" spans="1:8">
      <c r="A51" s="20">
        <v>46176</v>
      </c>
      <c r="B51" s="16">
        <v>0</v>
      </c>
      <c r="C51" s="19"/>
      <c r="D51" s="16">
        <v>0</v>
      </c>
      <c r="E51" s="19"/>
      <c r="F51" s="16">
        <v>0</v>
      </c>
      <c r="G51" s="19"/>
      <c r="H51" s="16">
        <v>0</v>
      </c>
    </row>
    <row r="52" spans="1:8">
      <c r="A52" s="20">
        <v>46177</v>
      </c>
      <c r="B52" s="16">
        <v>200</v>
      </c>
      <c r="C52" s="19"/>
      <c r="D52" s="16">
        <v>150</v>
      </c>
      <c r="E52" s="19"/>
      <c r="F52" s="16">
        <v>150</v>
      </c>
      <c r="G52" s="19"/>
      <c r="H52" s="16">
        <v>150</v>
      </c>
    </row>
    <row r="53" spans="1:8">
      <c r="A53" s="20">
        <v>46178</v>
      </c>
      <c r="B53" s="16">
        <v>10878.022664</v>
      </c>
      <c r="C53" s="19"/>
      <c r="D53" s="16">
        <v>50</v>
      </c>
      <c r="E53" s="19"/>
      <c r="F53" s="16">
        <v>50</v>
      </c>
      <c r="G53" s="19"/>
      <c r="H53" s="16">
        <v>50</v>
      </c>
    </row>
    <row r="54" spans="1:8">
      <c r="A54" s="20">
        <v>46182</v>
      </c>
      <c r="B54" s="16">
        <v>0</v>
      </c>
      <c r="C54" s="19"/>
      <c r="D54" s="16">
        <v>0</v>
      </c>
      <c r="E54" s="19"/>
      <c r="F54" s="16">
        <v>0</v>
      </c>
      <c r="G54" s="19"/>
      <c r="H54" s="16">
        <v>0</v>
      </c>
    </row>
    <row r="55" spans="1:8">
      <c r="A55" s="20">
        <v>46183</v>
      </c>
      <c r="B55" s="16">
        <v>67565.465119999993</v>
      </c>
      <c r="C55" s="19"/>
      <c r="D55" s="16">
        <v>250</v>
      </c>
      <c r="E55" s="19"/>
      <c r="F55" s="16">
        <v>320</v>
      </c>
      <c r="G55" s="19"/>
      <c r="H55" s="16">
        <v>294.99</v>
      </c>
    </row>
    <row r="56" spans="1:8">
      <c r="A56" s="20">
        <v>46184</v>
      </c>
      <c r="B56" s="16">
        <v>0</v>
      </c>
      <c r="C56" s="19"/>
      <c r="D56" s="16">
        <v>0</v>
      </c>
      <c r="E56" s="19"/>
      <c r="F56" s="16">
        <v>0</v>
      </c>
      <c r="G56" s="19"/>
      <c r="H56" s="16">
        <v>0</v>
      </c>
    </row>
    <row r="57" spans="1:8">
      <c r="A57" s="20">
        <v>46185</v>
      </c>
      <c r="B57" s="16">
        <v>40962.766997999999</v>
      </c>
      <c r="C57" s="19"/>
      <c r="D57" s="16">
        <v>110</v>
      </c>
      <c r="E57" s="19"/>
      <c r="F57" s="16">
        <v>120</v>
      </c>
      <c r="G57" s="19"/>
      <c r="H57" s="16">
        <v>110.87</v>
      </c>
    </row>
    <row r="58" spans="1:8">
      <c r="A58" s="20">
        <v>46188</v>
      </c>
      <c r="B58" s="16">
        <v>13248.755665999999</v>
      </c>
      <c r="C58" s="19"/>
      <c r="D58" s="16">
        <v>290</v>
      </c>
      <c r="E58" s="19"/>
      <c r="F58" s="16">
        <v>330</v>
      </c>
      <c r="G58" s="19"/>
      <c r="H58" s="16">
        <v>300.5</v>
      </c>
    </row>
    <row r="59" spans="1:8">
      <c r="A59" s="20">
        <v>46189</v>
      </c>
      <c r="B59" s="16">
        <v>15884.312540000001</v>
      </c>
      <c r="C59" s="19"/>
      <c r="D59" s="16">
        <v>335</v>
      </c>
      <c r="E59" s="19"/>
      <c r="F59" s="16">
        <v>340</v>
      </c>
      <c r="G59" s="19"/>
      <c r="H59" s="16">
        <v>335.1</v>
      </c>
    </row>
    <row r="60" spans="1:8">
      <c r="A60" s="20">
        <v>46190</v>
      </c>
      <c r="B60" s="16">
        <v>51428.024998000001</v>
      </c>
      <c r="C60" s="19"/>
      <c r="D60" s="16">
        <v>300</v>
      </c>
      <c r="E60" s="19"/>
      <c r="F60" s="16">
        <v>340</v>
      </c>
      <c r="G60" s="19"/>
      <c r="H60" s="16">
        <v>314.18</v>
      </c>
    </row>
    <row r="61" spans="1:8">
      <c r="A61" s="20">
        <v>46191</v>
      </c>
      <c r="B61" s="16">
        <v>21477.350433</v>
      </c>
      <c r="C61" s="19"/>
      <c r="D61" s="16">
        <v>350</v>
      </c>
      <c r="E61" s="19"/>
      <c r="F61" s="16">
        <v>390</v>
      </c>
      <c r="G61" s="19"/>
      <c r="H61" s="16">
        <v>354.17</v>
      </c>
    </row>
    <row r="62" spans="1:8">
      <c r="A62" s="20">
        <v>46192</v>
      </c>
      <c r="B62" s="16">
        <v>19544.702092</v>
      </c>
      <c r="C62" s="19"/>
      <c r="D62" s="16">
        <v>120</v>
      </c>
      <c r="E62" s="19"/>
      <c r="F62" s="16">
        <v>125.02</v>
      </c>
      <c r="G62" s="19"/>
      <c r="H62" s="16">
        <v>121.88</v>
      </c>
    </row>
    <row r="63" spans="1:8">
      <c r="A63" s="20">
        <v>46195</v>
      </c>
      <c r="B63" s="16">
        <v>1676.4307650000001</v>
      </c>
      <c r="C63" s="19"/>
      <c r="D63" s="16">
        <v>350</v>
      </c>
      <c r="E63" s="19"/>
      <c r="F63" s="16">
        <v>360</v>
      </c>
      <c r="G63" s="19"/>
      <c r="H63" s="16">
        <v>351.2</v>
      </c>
    </row>
    <row r="64" spans="1:8">
      <c r="A64" s="20">
        <v>46196</v>
      </c>
      <c r="B64" s="16">
        <v>4776.4754999999996</v>
      </c>
      <c r="C64" s="19"/>
      <c r="D64" s="16">
        <v>140</v>
      </c>
      <c r="E64" s="19"/>
      <c r="F64" s="16">
        <v>350</v>
      </c>
      <c r="G64" s="19"/>
      <c r="H64" s="16">
        <v>184.42</v>
      </c>
    </row>
    <row r="65" spans="1:8">
      <c r="A65" s="20">
        <v>46198</v>
      </c>
      <c r="B65" s="16">
        <v>1740</v>
      </c>
      <c r="C65" s="19"/>
      <c r="D65" s="16">
        <v>120</v>
      </c>
      <c r="E65" s="19"/>
      <c r="F65" s="16">
        <v>300</v>
      </c>
      <c r="G65" s="19"/>
      <c r="H65" s="16">
        <v>282.06896551724139</v>
      </c>
    </row>
    <row r="66" spans="1:8">
      <c r="A66" s="20">
        <v>46203</v>
      </c>
      <c r="B66" s="16">
        <v>1904.22222222</v>
      </c>
      <c r="C66" s="19"/>
      <c r="D66" s="16">
        <v>0.01</v>
      </c>
      <c r="E66" s="19"/>
      <c r="F66" s="16">
        <v>0.01</v>
      </c>
      <c r="G66" s="19"/>
      <c r="H66" s="16">
        <v>0.01</v>
      </c>
    </row>
    <row r="67" spans="1:8">
      <c r="A67" s="20">
        <v>46204</v>
      </c>
      <c r="B67" s="16">
        <v>0</v>
      </c>
      <c r="C67" s="19"/>
      <c r="D67" s="16">
        <v>0</v>
      </c>
      <c r="E67" s="19"/>
      <c r="F67" s="16">
        <v>0</v>
      </c>
      <c r="G67" s="19"/>
      <c r="H67" s="16">
        <v>0</v>
      </c>
    </row>
    <row r="68" spans="1:8">
      <c r="A68" s="20">
        <v>46205</v>
      </c>
      <c r="B68" s="16">
        <v>2461.9</v>
      </c>
      <c r="C68" s="19"/>
      <c r="D68" s="16">
        <v>110</v>
      </c>
      <c r="E68" s="19"/>
      <c r="F68" s="16">
        <v>135</v>
      </c>
      <c r="G68" s="19"/>
      <c r="H68" s="16">
        <v>131.66</v>
      </c>
    </row>
    <row r="69" spans="1:8">
      <c r="A69" s="20">
        <v>46206</v>
      </c>
      <c r="B69" s="16">
        <v>279.5</v>
      </c>
      <c r="C69" s="19"/>
      <c r="D69" s="16">
        <v>5</v>
      </c>
      <c r="E69" s="19"/>
      <c r="F69" s="16">
        <v>60</v>
      </c>
      <c r="G69" s="19"/>
      <c r="H69" s="16">
        <v>54.19</v>
      </c>
    </row>
    <row r="70" spans="1:8">
      <c r="A70" s="20">
        <v>46209</v>
      </c>
      <c r="B70" s="16">
        <v>0</v>
      </c>
      <c r="C70" s="19"/>
      <c r="D70" s="16">
        <v>0</v>
      </c>
      <c r="E70" s="19"/>
      <c r="F70" s="16">
        <v>0</v>
      </c>
      <c r="G70" s="19"/>
      <c r="H70" s="16">
        <v>0</v>
      </c>
    </row>
    <row r="71" spans="1:8">
      <c r="A71" s="20">
        <v>46210</v>
      </c>
      <c r="B71" s="16">
        <v>0</v>
      </c>
      <c r="C71" s="19"/>
      <c r="D71" s="16">
        <v>0</v>
      </c>
      <c r="E71" s="19"/>
      <c r="F71" s="16">
        <v>0</v>
      </c>
      <c r="G71" s="19"/>
      <c r="H71" s="16">
        <v>0</v>
      </c>
    </row>
    <row r="72" spans="1:8">
      <c r="A72" s="20">
        <v>46211</v>
      </c>
      <c r="B72" s="16">
        <v>0</v>
      </c>
      <c r="C72" s="19"/>
      <c r="D72" s="16">
        <v>0</v>
      </c>
      <c r="E72" s="19"/>
      <c r="F72" s="16">
        <v>0</v>
      </c>
      <c r="G72" s="19"/>
      <c r="H72" s="16">
        <v>0</v>
      </c>
    </row>
    <row r="73" spans="1:8">
      <c r="A73" s="20">
        <v>46212</v>
      </c>
      <c r="B73" s="16">
        <v>3000</v>
      </c>
      <c r="C73" s="19"/>
      <c r="D73" s="16">
        <v>1</v>
      </c>
      <c r="E73" s="19"/>
      <c r="F73" s="16">
        <v>1</v>
      </c>
      <c r="G73" s="19"/>
      <c r="H73" s="16">
        <v>1</v>
      </c>
    </row>
    <row r="74" spans="1:8">
      <c r="A74" s="20">
        <v>46213</v>
      </c>
      <c r="B74" s="16">
        <v>0</v>
      </c>
      <c r="C74" s="19"/>
      <c r="D74" s="16">
        <v>0</v>
      </c>
      <c r="E74" s="19"/>
      <c r="F74" s="16">
        <v>0</v>
      </c>
      <c r="G74" s="19"/>
      <c r="H74" s="16">
        <v>0</v>
      </c>
    </row>
    <row r="75" spans="1:8">
      <c r="A75" s="20">
        <v>46216</v>
      </c>
      <c r="B75" s="16">
        <v>0</v>
      </c>
      <c r="C75" s="19"/>
      <c r="D75" s="16">
        <v>0</v>
      </c>
      <c r="E75" s="19"/>
      <c r="F75" s="16">
        <v>0</v>
      </c>
      <c r="G75" s="19"/>
      <c r="H75" s="16">
        <v>0</v>
      </c>
    </row>
    <row r="76" spans="1:8">
      <c r="A76" s="20">
        <v>46217</v>
      </c>
      <c r="B76" s="16">
        <v>0</v>
      </c>
      <c r="C76" s="19"/>
      <c r="D76" s="16">
        <v>0</v>
      </c>
      <c r="E76" s="19"/>
      <c r="F76" s="16">
        <v>0</v>
      </c>
      <c r="G76" s="19"/>
      <c r="H76" s="16">
        <v>0</v>
      </c>
    </row>
    <row r="77" spans="1:8">
      <c r="A77" s="20">
        <v>46218</v>
      </c>
      <c r="B77" s="16">
        <v>217.41</v>
      </c>
      <c r="C77" s="19"/>
      <c r="D77" s="16">
        <v>50</v>
      </c>
      <c r="E77" s="19"/>
      <c r="F77" s="16">
        <v>200</v>
      </c>
      <c r="G77" s="19"/>
      <c r="H77" s="16">
        <v>165.7</v>
      </c>
    </row>
    <row r="78" spans="1:8">
      <c r="A78" s="20">
        <v>46219</v>
      </c>
      <c r="B78" s="16">
        <v>517.9</v>
      </c>
      <c r="C78" s="19"/>
      <c r="D78" s="16">
        <v>50</v>
      </c>
      <c r="E78" s="19"/>
      <c r="F78" s="16">
        <v>120</v>
      </c>
      <c r="G78" s="19"/>
      <c r="H78" s="16">
        <v>119.03</v>
      </c>
    </row>
    <row r="79" spans="1:8">
      <c r="A79" s="20">
        <v>46190</v>
      </c>
      <c r="B79" s="16">
        <v>31613.569407999999</v>
      </c>
      <c r="C79" s="19"/>
      <c r="D79" s="16">
        <v>25</v>
      </c>
      <c r="E79" s="19"/>
      <c r="F79" s="16">
        <v>85</v>
      </c>
      <c r="G79" s="19"/>
      <c r="H79" s="16">
        <v>80.14</v>
      </c>
    </row>
    <row r="80" spans="1:8">
      <c r="A80" s="20">
        <v>46224</v>
      </c>
      <c r="B80" s="16">
        <v>880</v>
      </c>
      <c r="C80" s="19"/>
      <c r="D80" s="16">
        <v>150</v>
      </c>
      <c r="E80" s="19"/>
      <c r="F80" s="16">
        <v>200</v>
      </c>
      <c r="G80" s="19"/>
      <c r="H80" s="16">
        <v>184.77</v>
      </c>
    </row>
    <row r="81" spans="1:8">
      <c r="A81" s="20">
        <v>46225</v>
      </c>
      <c r="B81" s="16">
        <v>0</v>
      </c>
      <c r="C81" s="19"/>
      <c r="D81" s="16">
        <v>0</v>
      </c>
      <c r="E81" s="19"/>
      <c r="F81" s="16">
        <v>0</v>
      </c>
      <c r="G81" s="19"/>
      <c r="H81" s="16">
        <v>0</v>
      </c>
    </row>
    <row r="82" spans="1:8">
      <c r="A82" s="20">
        <v>46226</v>
      </c>
      <c r="B82" s="16">
        <v>0</v>
      </c>
      <c r="C82" s="19"/>
      <c r="D82" s="16">
        <v>0</v>
      </c>
      <c r="E82" s="19"/>
      <c r="F82" s="16">
        <v>0</v>
      </c>
      <c r="G82" s="19"/>
      <c r="H82" s="16">
        <v>0</v>
      </c>
    </row>
    <row r="83" spans="1:8">
      <c r="A83" s="20">
        <v>46230</v>
      </c>
      <c r="B83" s="16">
        <v>0</v>
      </c>
      <c r="C83" s="19"/>
      <c r="D83" s="16">
        <v>0</v>
      </c>
      <c r="E83" s="19"/>
      <c r="F83" s="16">
        <v>0</v>
      </c>
      <c r="G83" s="19"/>
      <c r="H83" s="16">
        <v>0</v>
      </c>
    </row>
    <row r="84" spans="1:8">
      <c r="A84" s="20">
        <v>46231</v>
      </c>
      <c r="B84" s="16">
        <v>230</v>
      </c>
      <c r="C84" s="19"/>
      <c r="D84" s="16">
        <v>90</v>
      </c>
      <c r="E84" s="19"/>
      <c r="F84" s="16">
        <v>100</v>
      </c>
      <c r="G84" s="19"/>
      <c r="H84" s="16">
        <v>95</v>
      </c>
    </row>
    <row r="85" spans="1:8">
      <c r="A85" s="20">
        <v>46232</v>
      </c>
      <c r="B85" s="16">
        <v>20</v>
      </c>
      <c r="C85" s="19"/>
      <c r="D85" s="16">
        <v>100</v>
      </c>
      <c r="E85" s="19"/>
      <c r="F85" s="16">
        <v>100</v>
      </c>
      <c r="G85" s="19"/>
      <c r="H85" s="16">
        <v>100</v>
      </c>
    </row>
    <row r="86" spans="1:8">
      <c r="A86" s="20">
        <v>46233</v>
      </c>
      <c r="B86" s="16">
        <v>280</v>
      </c>
      <c r="C86" s="19"/>
      <c r="D86" s="16">
        <v>40</v>
      </c>
      <c r="E86" s="19"/>
      <c r="F86" s="16">
        <v>100</v>
      </c>
      <c r="G86" s="19"/>
      <c r="H86" s="16">
        <v>66.430000000000007</v>
      </c>
    </row>
    <row r="87" spans="1:8">
      <c r="A87" s="20">
        <v>46234</v>
      </c>
      <c r="B87" s="16">
        <v>60</v>
      </c>
      <c r="C87" s="19"/>
      <c r="D87" s="16">
        <v>40</v>
      </c>
      <c r="E87" s="19"/>
      <c r="F87" s="16">
        <v>40</v>
      </c>
      <c r="G87" s="19"/>
      <c r="H87" s="16">
        <v>40</v>
      </c>
    </row>
    <row r="88" spans="1:8">
      <c r="A88" s="20">
        <v>46237</v>
      </c>
      <c r="B88" s="16">
        <v>1500</v>
      </c>
      <c r="C88" s="19"/>
      <c r="D88" s="16">
        <v>110</v>
      </c>
      <c r="E88" s="19"/>
      <c r="F88" s="16">
        <v>110</v>
      </c>
      <c r="G88" s="19"/>
      <c r="H88" s="16">
        <v>110</v>
      </c>
    </row>
    <row r="89" spans="1:8">
      <c r="A89" s="20">
        <v>46238</v>
      </c>
      <c r="B89" s="16">
        <v>0</v>
      </c>
      <c r="C89" s="19"/>
      <c r="D89" s="16">
        <v>0</v>
      </c>
      <c r="E89" s="19"/>
      <c r="F89" s="16">
        <v>0</v>
      </c>
      <c r="G89" s="19"/>
      <c r="H89" s="16">
        <v>0</v>
      </c>
    </row>
    <row r="90" spans="1:8">
      <c r="A90" s="20">
        <v>46239</v>
      </c>
      <c r="B90" s="16">
        <v>0</v>
      </c>
      <c r="C90" s="19"/>
      <c r="D90" s="16">
        <v>0</v>
      </c>
      <c r="E90" s="19"/>
      <c r="F90" s="16">
        <v>0</v>
      </c>
      <c r="G90" s="19"/>
      <c r="H90" s="16">
        <v>0</v>
      </c>
    </row>
    <row r="91" spans="1:8">
      <c r="A91" s="20">
        <v>46240</v>
      </c>
      <c r="B91" s="16">
        <v>0</v>
      </c>
      <c r="C91" s="19"/>
      <c r="D91" s="16">
        <v>0</v>
      </c>
      <c r="E91" s="19"/>
      <c r="F91" s="16">
        <v>0</v>
      </c>
      <c r="G91" s="19"/>
      <c r="H91" s="16">
        <v>0</v>
      </c>
    </row>
    <row r="92" spans="1:8">
      <c r="A92" s="20">
        <v>46241</v>
      </c>
      <c r="B92" s="16">
        <v>100</v>
      </c>
      <c r="C92" s="19"/>
      <c r="D92" s="16">
        <v>90</v>
      </c>
      <c r="E92" s="19"/>
      <c r="F92" s="16">
        <v>100</v>
      </c>
      <c r="G92" s="19"/>
      <c r="H92" s="16">
        <v>95</v>
      </c>
    </row>
    <row r="93" spans="1:8">
      <c r="A93" s="20">
        <v>46244</v>
      </c>
      <c r="B93" s="16">
        <v>0</v>
      </c>
      <c r="C93" s="19"/>
      <c r="D93" s="16">
        <v>0</v>
      </c>
      <c r="E93" s="19"/>
      <c r="F93" s="16">
        <v>0</v>
      </c>
      <c r="G93" s="19"/>
      <c r="H93" s="16">
        <v>0</v>
      </c>
    </row>
    <row r="94" spans="1:8">
      <c r="A94" s="20">
        <v>46245</v>
      </c>
      <c r="B94" s="16">
        <v>100</v>
      </c>
      <c r="D94" s="16">
        <v>90</v>
      </c>
      <c r="F94" s="16">
        <v>100</v>
      </c>
      <c r="H94" s="16">
        <v>95</v>
      </c>
    </row>
    <row r="95" spans="1:8">
      <c r="A95" s="20">
        <v>46246</v>
      </c>
      <c r="B95" s="16">
        <v>2710.8615399999999</v>
      </c>
      <c r="C95" s="19"/>
      <c r="D95" s="16">
        <v>90</v>
      </c>
      <c r="E95" s="19"/>
      <c r="F95" s="16">
        <v>160</v>
      </c>
      <c r="G95" s="19"/>
      <c r="H95" s="16">
        <v>143.79</v>
      </c>
    </row>
    <row r="96" spans="1:8">
      <c r="A96" s="20">
        <v>46247</v>
      </c>
      <c r="B96" s="16">
        <v>480</v>
      </c>
      <c r="C96" s="19"/>
      <c r="D96" s="16">
        <v>90</v>
      </c>
      <c r="E96" s="19"/>
      <c r="F96" s="16">
        <v>100</v>
      </c>
      <c r="G96" s="19"/>
      <c r="H96" s="16">
        <v>95</v>
      </c>
    </row>
    <row r="97" spans="1:8">
      <c r="A97" s="20">
        <v>46248</v>
      </c>
      <c r="B97" s="16">
        <v>4514.1648089999999</v>
      </c>
      <c r="C97" s="19"/>
      <c r="D97" s="16">
        <v>70</v>
      </c>
      <c r="E97" s="19"/>
      <c r="F97" s="16">
        <v>70</v>
      </c>
      <c r="G97" s="19"/>
      <c r="H97" s="16">
        <v>70</v>
      </c>
    </row>
    <row r="98" spans="1:8">
      <c r="A98" s="20">
        <v>46251</v>
      </c>
      <c r="B98" s="16">
        <v>0</v>
      </c>
      <c r="C98" s="19"/>
      <c r="D98" s="16">
        <v>0</v>
      </c>
      <c r="E98" s="19"/>
      <c r="F98" s="16">
        <v>0</v>
      </c>
      <c r="G98" s="19"/>
      <c r="H98" s="16">
        <v>0</v>
      </c>
    </row>
    <row r="99" spans="1:8">
      <c r="A99" s="20">
        <v>46252</v>
      </c>
      <c r="B99" s="16">
        <v>120</v>
      </c>
      <c r="C99" s="19"/>
      <c r="D99" s="16">
        <v>90</v>
      </c>
      <c r="E99" s="19"/>
      <c r="F99" s="16">
        <v>100</v>
      </c>
      <c r="G99" s="19"/>
      <c r="H99" s="16">
        <v>95</v>
      </c>
    </row>
    <row r="100" spans="1:8">
      <c r="A100" s="20">
        <v>46253</v>
      </c>
      <c r="B100" s="16">
        <v>0</v>
      </c>
      <c r="C100" s="19"/>
      <c r="D100" s="16">
        <v>0</v>
      </c>
      <c r="E100" s="19"/>
      <c r="F100" s="16">
        <v>0</v>
      </c>
      <c r="G100" s="19"/>
      <c r="H100" s="16">
        <v>0</v>
      </c>
    </row>
    <row r="101" spans="1:8">
      <c r="A101" s="20">
        <v>46254</v>
      </c>
      <c r="B101" s="16">
        <v>0</v>
      </c>
      <c r="C101" s="19"/>
      <c r="D101" s="16">
        <v>0</v>
      </c>
      <c r="E101" s="19"/>
      <c r="F101" s="16">
        <v>0</v>
      </c>
      <c r="G101" s="19"/>
      <c r="H101" s="16">
        <v>0</v>
      </c>
    </row>
    <row r="102" spans="1:8">
      <c r="A102" s="20">
        <v>46255</v>
      </c>
      <c r="B102" s="16">
        <v>0</v>
      </c>
      <c r="C102" s="19"/>
      <c r="D102" s="16">
        <v>0</v>
      </c>
      <c r="E102" s="19"/>
      <c r="F102" s="16">
        <v>0</v>
      </c>
      <c r="G102" s="19"/>
      <c r="H102" s="16">
        <v>0</v>
      </c>
    </row>
    <row r="103" spans="1:8">
      <c r="A103" s="20">
        <v>46256</v>
      </c>
      <c r="B103" s="16">
        <v>60</v>
      </c>
      <c r="C103" s="19"/>
      <c r="D103" s="16">
        <v>90</v>
      </c>
      <c r="E103" s="19"/>
      <c r="F103" s="16">
        <v>100</v>
      </c>
      <c r="G103" s="19"/>
      <c r="H103" s="16">
        <v>95</v>
      </c>
    </row>
    <row r="104" spans="1:8">
      <c r="A104" s="20">
        <v>46259</v>
      </c>
      <c r="B104" s="16">
        <v>53</v>
      </c>
      <c r="C104" s="19"/>
      <c r="D104" s="16">
        <v>250</v>
      </c>
      <c r="E104" s="19"/>
      <c r="F104" s="16">
        <v>250</v>
      </c>
      <c r="G104" s="19"/>
      <c r="H104" s="16">
        <v>250</v>
      </c>
    </row>
    <row r="105" spans="1:8">
      <c r="A105" s="20">
        <v>46260</v>
      </c>
      <c r="B105" s="16">
        <v>266</v>
      </c>
      <c r="C105" s="19"/>
      <c r="D105" s="16">
        <v>120</v>
      </c>
      <c r="E105" s="19"/>
      <c r="F105" s="16">
        <v>250</v>
      </c>
      <c r="G105" s="19"/>
      <c r="H105" s="16">
        <v>183.16</v>
      </c>
    </row>
    <row r="106" spans="1:8">
      <c r="A106" s="20">
        <v>46261</v>
      </c>
      <c r="B106" s="16">
        <v>175</v>
      </c>
      <c r="C106" s="19"/>
      <c r="D106" s="16">
        <v>90</v>
      </c>
      <c r="E106" s="19"/>
      <c r="F106" s="16">
        <v>100</v>
      </c>
      <c r="G106" s="19"/>
      <c r="H106" s="16">
        <v>96</v>
      </c>
    </row>
    <row r="107" spans="1:8">
      <c r="A107" s="20">
        <v>46262</v>
      </c>
      <c r="B107" s="16">
        <v>800</v>
      </c>
      <c r="C107" s="19"/>
      <c r="D107" s="16">
        <v>50</v>
      </c>
      <c r="E107" s="19"/>
      <c r="F107" s="16">
        <v>500</v>
      </c>
      <c r="G107" s="19"/>
      <c r="H107" s="16">
        <v>275</v>
      </c>
    </row>
    <row r="108" spans="1:8">
      <c r="A108" s="20">
        <v>46265</v>
      </c>
      <c r="B108" s="16">
        <v>60</v>
      </c>
      <c r="C108" s="19"/>
      <c r="D108" s="16">
        <v>40</v>
      </c>
      <c r="E108" s="19"/>
      <c r="F108" s="16">
        <v>40</v>
      </c>
      <c r="G108" s="19"/>
      <c r="H108" s="16">
        <v>40</v>
      </c>
    </row>
    <row r="109" spans="1:8">
      <c r="A109" s="20">
        <v>46266</v>
      </c>
      <c r="B109" s="16">
        <v>0</v>
      </c>
      <c r="C109" s="19"/>
      <c r="D109" s="16">
        <v>0</v>
      </c>
      <c r="E109" s="19"/>
      <c r="F109" s="16">
        <v>0</v>
      </c>
      <c r="G109" s="19"/>
      <c r="H109" s="16">
        <v>0</v>
      </c>
    </row>
    <row r="110" spans="1:8">
      <c r="A110" s="20">
        <v>46267</v>
      </c>
      <c r="B110" s="16">
        <v>700</v>
      </c>
      <c r="C110" s="19"/>
      <c r="D110" s="16">
        <v>90</v>
      </c>
      <c r="E110" s="19"/>
      <c r="F110" s="16">
        <v>100</v>
      </c>
      <c r="G110" s="19"/>
      <c r="H110" s="16">
        <v>95</v>
      </c>
    </row>
    <row r="111" spans="1:8">
      <c r="A111" s="20">
        <v>46268</v>
      </c>
      <c r="B111" s="16">
        <v>420</v>
      </c>
      <c r="C111" s="19"/>
      <c r="D111" s="16">
        <v>80</v>
      </c>
      <c r="E111" s="19"/>
      <c r="F111" s="16">
        <v>100</v>
      </c>
      <c r="G111" s="19"/>
      <c r="H111" s="16">
        <v>91.19</v>
      </c>
    </row>
    <row r="112" spans="1:8">
      <c r="A112" s="20">
        <v>46269</v>
      </c>
      <c r="B112" s="16">
        <v>604</v>
      </c>
      <c r="C112" s="19"/>
      <c r="D112" s="16">
        <v>20</v>
      </c>
      <c r="E112" s="19"/>
      <c r="F112" s="16">
        <v>30</v>
      </c>
      <c r="G112" s="19"/>
      <c r="H112" s="16">
        <v>26.75</v>
      </c>
    </row>
    <row r="113" spans="1:8">
      <c r="A113" s="20">
        <v>46272</v>
      </c>
      <c r="B113" s="16">
        <v>1389.4680000000001</v>
      </c>
      <c r="C113" s="19"/>
      <c r="D113" s="16">
        <v>90</v>
      </c>
      <c r="E113" s="19"/>
      <c r="F113" s="16">
        <v>300</v>
      </c>
      <c r="G113" s="19"/>
      <c r="H113" s="16">
        <v>171.07</v>
      </c>
    </row>
    <row r="114" spans="1:8">
      <c r="A114" s="20">
        <v>46273</v>
      </c>
      <c r="B114" s="16">
        <v>1000</v>
      </c>
      <c r="C114" s="19"/>
      <c r="D114" s="16">
        <v>90</v>
      </c>
      <c r="E114" s="19"/>
      <c r="F114" s="16">
        <v>100</v>
      </c>
      <c r="G114" s="19"/>
      <c r="H114" s="16">
        <v>95</v>
      </c>
    </row>
    <row r="115" spans="1:8">
      <c r="A115" s="20">
        <v>47370</v>
      </c>
      <c r="B115" s="16">
        <v>386</v>
      </c>
      <c r="C115" s="19"/>
      <c r="D115" s="16">
        <v>60</v>
      </c>
      <c r="E115" s="19"/>
      <c r="F115" s="16">
        <v>100</v>
      </c>
      <c r="G115" s="19"/>
      <c r="H115" s="16">
        <v>80</v>
      </c>
    </row>
    <row r="116" spans="1:8">
      <c r="A116" s="20">
        <v>46275</v>
      </c>
      <c r="B116" s="16">
        <v>300</v>
      </c>
      <c r="C116" s="19"/>
      <c r="D116" s="16">
        <v>60</v>
      </c>
      <c r="E116" s="19"/>
      <c r="F116" s="16">
        <v>100</v>
      </c>
      <c r="G116" s="19"/>
      <c r="H116" s="16">
        <v>80</v>
      </c>
    </row>
    <row r="117" spans="1:8">
      <c r="A117" s="20">
        <v>46276</v>
      </c>
      <c r="B117" s="16">
        <v>108</v>
      </c>
      <c r="C117" s="19"/>
      <c r="D117" s="16">
        <v>60</v>
      </c>
      <c r="E117" s="19"/>
      <c r="F117" s="16">
        <v>100</v>
      </c>
      <c r="G117" s="19"/>
      <c r="H117" s="16">
        <v>80</v>
      </c>
    </row>
    <row r="118" spans="1:8">
      <c r="A118" s="20">
        <v>46280</v>
      </c>
      <c r="B118" s="16">
        <v>2571.288</v>
      </c>
      <c r="C118" s="19"/>
      <c r="D118" s="16">
        <v>100</v>
      </c>
      <c r="E118" s="19"/>
      <c r="F118" s="16">
        <v>150</v>
      </c>
      <c r="G118" s="19"/>
      <c r="H118" s="16">
        <v>110.92</v>
      </c>
    </row>
    <row r="119" spans="1:8">
      <c r="A119" s="20">
        <v>46281</v>
      </c>
      <c r="B119" s="16">
        <v>10800</v>
      </c>
      <c r="C119" s="19"/>
      <c r="D119" s="16">
        <v>200</v>
      </c>
      <c r="E119" s="19"/>
      <c r="F119" s="16">
        <v>200</v>
      </c>
      <c r="G119" s="19"/>
      <c r="H119" s="16">
        <v>200</v>
      </c>
    </row>
    <row r="120" spans="1:8">
      <c r="A120" s="20">
        <v>46282</v>
      </c>
      <c r="B120" s="16">
        <v>3168.1590000000001</v>
      </c>
      <c r="C120" s="19"/>
      <c r="D120" s="16">
        <v>90</v>
      </c>
      <c r="E120" s="19"/>
      <c r="F120" s="16">
        <v>250</v>
      </c>
      <c r="G120" s="19"/>
      <c r="H120" s="16">
        <v>247.55</v>
      </c>
    </row>
    <row r="121" spans="1:8">
      <c r="A121" s="20">
        <v>46283</v>
      </c>
      <c r="B121" s="16">
        <v>820</v>
      </c>
      <c r="C121" s="19"/>
      <c r="D121" s="16">
        <v>25</v>
      </c>
      <c r="E121" s="19"/>
      <c r="F121" s="16">
        <v>30</v>
      </c>
      <c r="G121" s="19"/>
      <c r="H121" s="16">
        <v>27.5</v>
      </c>
    </row>
    <row r="122" spans="1:8">
      <c r="A122" s="20">
        <v>46286</v>
      </c>
      <c r="B122" s="16">
        <v>20888.307000000001</v>
      </c>
      <c r="C122" s="19"/>
      <c r="D122" s="16">
        <v>1</v>
      </c>
      <c r="E122" s="19"/>
      <c r="F122" s="16">
        <v>100</v>
      </c>
      <c r="G122" s="19"/>
      <c r="H122" s="16">
        <v>23.39</v>
      </c>
    </row>
    <row r="123" spans="1:8">
      <c r="A123" s="20">
        <v>46287</v>
      </c>
      <c r="B123" s="16">
        <v>17245.765071999998</v>
      </c>
      <c r="C123" s="19"/>
      <c r="D123" s="16">
        <v>1.5</v>
      </c>
      <c r="E123" s="19"/>
      <c r="F123" s="16">
        <v>100</v>
      </c>
      <c r="G123" s="19"/>
      <c r="H123" s="16">
        <v>4.63</v>
      </c>
    </row>
    <row r="124" spans="1:8">
      <c r="A124" s="20">
        <v>46288</v>
      </c>
      <c r="B124" s="16">
        <v>8934.4187999999995</v>
      </c>
      <c r="C124" s="19"/>
      <c r="D124" s="16">
        <v>0.95</v>
      </c>
      <c r="E124" s="19"/>
      <c r="F124" s="16">
        <v>50</v>
      </c>
      <c r="G124" s="19"/>
      <c r="H124" s="16">
        <v>4.1399999999999997</v>
      </c>
    </row>
    <row r="125" spans="1:8">
      <c r="A125" s="20">
        <v>46289</v>
      </c>
      <c r="B125" s="16">
        <v>11795.6893</v>
      </c>
      <c r="C125" s="19"/>
      <c r="D125" s="16">
        <v>1</v>
      </c>
      <c r="E125" s="19"/>
      <c r="F125" s="16">
        <v>50</v>
      </c>
      <c r="G125" s="19"/>
      <c r="H125" s="16">
        <v>5.18</v>
      </c>
    </row>
    <row r="126" spans="1:8">
      <c r="A126" s="20">
        <v>46290</v>
      </c>
      <c r="B126">
        <v>624.74</v>
      </c>
      <c r="D126" s="16">
        <v>0.33</v>
      </c>
      <c r="F126" s="16">
        <v>0.33</v>
      </c>
      <c r="H126" s="16">
        <v>0.33</v>
      </c>
    </row>
    <row r="127" spans="1:8">
      <c r="A127" s="20">
        <v>46293</v>
      </c>
      <c r="B127" s="7">
        <v>0</v>
      </c>
      <c r="C127" s="23"/>
      <c r="D127" s="16">
        <v>0</v>
      </c>
      <c r="E127" s="23"/>
      <c r="F127" s="16">
        <v>0</v>
      </c>
      <c r="G127" s="23"/>
      <c r="H127" s="16">
        <v>0</v>
      </c>
    </row>
    <row r="128" spans="1:8">
      <c r="A128" s="20">
        <v>46294</v>
      </c>
      <c r="B128" s="16">
        <v>48909.906707000002</v>
      </c>
      <c r="C128" s="19"/>
      <c r="D128" s="16">
        <v>5</v>
      </c>
      <c r="E128" s="19"/>
      <c r="F128" s="16">
        <v>20</v>
      </c>
      <c r="G128" s="19"/>
      <c r="H128" s="16">
        <v>8.58</v>
      </c>
    </row>
    <row r="129" spans="1:8">
      <c r="A129" s="20">
        <v>47391</v>
      </c>
      <c r="B129" s="16">
        <v>25151.44958</v>
      </c>
      <c r="C129" s="19"/>
      <c r="D129" s="16">
        <v>20</v>
      </c>
      <c r="E129" s="19"/>
      <c r="F129" s="16">
        <v>60</v>
      </c>
      <c r="G129" s="19"/>
      <c r="H129" s="16">
        <v>58.03</v>
      </c>
    </row>
    <row r="130" spans="1:8">
      <c r="A130" s="20">
        <v>46296</v>
      </c>
      <c r="B130" s="16">
        <v>23187.184927999999</v>
      </c>
      <c r="C130" s="19"/>
      <c r="D130" s="16">
        <v>1</v>
      </c>
      <c r="E130" s="19"/>
      <c r="F130" s="16">
        <v>5</v>
      </c>
      <c r="G130" s="19"/>
      <c r="H130" s="16">
        <v>1.56</v>
      </c>
    </row>
    <row r="131" spans="1:8">
      <c r="A131" s="20">
        <v>46297</v>
      </c>
      <c r="B131" s="16">
        <v>4500</v>
      </c>
      <c r="C131" s="19"/>
      <c r="D131" s="16">
        <v>0.5</v>
      </c>
      <c r="E131" s="19"/>
      <c r="F131" s="16">
        <v>0.5</v>
      </c>
      <c r="G131" s="19"/>
      <c r="H131" s="16">
        <v>0.5</v>
      </c>
    </row>
    <row r="132" spans="1:8">
      <c r="A132" s="20">
        <v>46300</v>
      </c>
      <c r="B132" s="7">
        <v>0</v>
      </c>
      <c r="C132" s="23"/>
      <c r="D132" s="16">
        <v>0</v>
      </c>
      <c r="E132" s="23"/>
      <c r="F132" s="16">
        <v>0</v>
      </c>
      <c r="G132" s="23"/>
      <c r="H132" s="16">
        <v>0</v>
      </c>
    </row>
    <row r="133" spans="1:8">
      <c r="A133" s="20">
        <v>46301</v>
      </c>
      <c r="B133" s="16">
        <v>19790.829399999999</v>
      </c>
      <c r="C133" s="19"/>
      <c r="D133" s="16">
        <v>1</v>
      </c>
      <c r="E133" s="19"/>
      <c r="F133" s="16">
        <v>1</v>
      </c>
      <c r="G133" s="19"/>
      <c r="H133" s="16">
        <v>1</v>
      </c>
    </row>
    <row r="134" spans="1:8">
      <c r="A134" s="20">
        <v>46302</v>
      </c>
      <c r="B134" s="16">
        <v>18028.403399999999</v>
      </c>
      <c r="C134" s="19"/>
      <c r="D134" s="16">
        <v>1</v>
      </c>
      <c r="E134" s="19"/>
      <c r="F134" s="16">
        <v>1</v>
      </c>
      <c r="G134" s="19"/>
      <c r="H134" s="16">
        <v>1</v>
      </c>
    </row>
    <row r="135" spans="1:8">
      <c r="A135" s="20">
        <v>46303</v>
      </c>
      <c r="B135" s="16">
        <v>13681.624299999999</v>
      </c>
      <c r="C135" s="19"/>
      <c r="D135" s="16">
        <v>1</v>
      </c>
      <c r="E135" s="19"/>
      <c r="F135" s="16">
        <v>1</v>
      </c>
      <c r="G135" s="19"/>
      <c r="H135" s="16">
        <v>1</v>
      </c>
    </row>
    <row r="136" spans="1:8">
      <c r="A136" s="20">
        <v>46304</v>
      </c>
      <c r="B136" s="16">
        <v>3612.7458999999999</v>
      </c>
      <c r="C136" s="19"/>
      <c r="D136" s="16">
        <v>0.25</v>
      </c>
      <c r="E136" s="19"/>
      <c r="F136" s="16">
        <v>0.5</v>
      </c>
      <c r="G136" s="19"/>
      <c r="H136" s="16">
        <v>0.49</v>
      </c>
    </row>
    <row r="137" spans="1:8">
      <c r="A137" s="20">
        <v>46308</v>
      </c>
      <c r="B137" s="16">
        <v>35938.443534999999</v>
      </c>
      <c r="C137" s="19"/>
      <c r="D137" s="16">
        <v>18</v>
      </c>
      <c r="E137" s="19"/>
      <c r="F137" s="16">
        <v>20</v>
      </c>
      <c r="G137" s="19"/>
      <c r="H137" s="16">
        <v>19.8</v>
      </c>
    </row>
    <row r="138" spans="1:8">
      <c r="A138" s="20">
        <v>46309</v>
      </c>
      <c r="B138" s="16">
        <v>34727.03</v>
      </c>
      <c r="C138" s="19"/>
      <c r="D138" s="16">
        <v>2</v>
      </c>
      <c r="E138" s="19"/>
      <c r="F138" s="16">
        <v>20</v>
      </c>
      <c r="G138" s="19"/>
      <c r="H138" s="16">
        <v>5.16</v>
      </c>
    </row>
    <row r="139" spans="1:8">
      <c r="A139" s="20">
        <v>46310</v>
      </c>
      <c r="B139" s="16">
        <v>32955</v>
      </c>
      <c r="C139" s="19"/>
      <c r="D139" s="16">
        <v>70</v>
      </c>
      <c r="E139" s="19"/>
      <c r="F139" s="16">
        <v>80</v>
      </c>
      <c r="G139" s="19"/>
      <c r="H139" s="16">
        <v>77.33</v>
      </c>
    </row>
    <row r="140" spans="1:8">
      <c r="A140" s="20">
        <v>46311</v>
      </c>
      <c r="B140" s="16">
        <v>32821.478965000002</v>
      </c>
      <c r="C140" s="19"/>
      <c r="D140" s="16">
        <v>2</v>
      </c>
      <c r="E140" s="19"/>
      <c r="F140" s="16">
        <v>5</v>
      </c>
      <c r="G140" s="19"/>
      <c r="H140" s="16">
        <v>3.71</v>
      </c>
    </row>
    <row r="141" spans="1:8">
      <c r="A141" s="20">
        <v>46314</v>
      </c>
      <c r="B141" s="16">
        <v>0</v>
      </c>
      <c r="C141" s="19"/>
      <c r="D141" s="16">
        <v>0</v>
      </c>
      <c r="E141" s="19"/>
      <c r="F141" s="16">
        <v>0</v>
      </c>
      <c r="G141" s="19"/>
      <c r="H141" s="16">
        <v>0</v>
      </c>
    </row>
    <row r="142" spans="1:8">
      <c r="A142" s="20">
        <v>46315</v>
      </c>
      <c r="B142" s="16">
        <v>0</v>
      </c>
      <c r="C142" s="19"/>
      <c r="D142" s="16">
        <v>0</v>
      </c>
      <c r="E142" s="19"/>
      <c r="F142" s="16">
        <v>0</v>
      </c>
      <c r="G142" s="19"/>
      <c r="H142" s="16">
        <v>0</v>
      </c>
    </row>
    <row r="143" spans="1:8">
      <c r="A143" s="20">
        <v>46316</v>
      </c>
      <c r="B143" s="16">
        <v>500</v>
      </c>
      <c r="C143" s="19"/>
      <c r="D143" s="16">
        <v>50</v>
      </c>
      <c r="E143" s="19"/>
      <c r="F143" s="16">
        <v>50</v>
      </c>
      <c r="G143" s="19"/>
      <c r="H143" s="16">
        <v>50</v>
      </c>
    </row>
    <row r="144" spans="1:8">
      <c r="A144" s="20">
        <v>46318</v>
      </c>
      <c r="B144" s="16">
        <v>0</v>
      </c>
      <c r="C144" s="19"/>
      <c r="D144" s="16">
        <v>0</v>
      </c>
      <c r="E144" s="19"/>
      <c r="F144" s="16">
        <v>0</v>
      </c>
      <c r="G144" s="19"/>
      <c r="H144" s="16">
        <v>0</v>
      </c>
    </row>
    <row r="145" spans="1:8">
      <c r="A145" s="20">
        <v>46322</v>
      </c>
      <c r="B145" s="16">
        <v>0</v>
      </c>
      <c r="C145" s="19"/>
      <c r="D145" s="16">
        <v>0</v>
      </c>
      <c r="E145" s="19"/>
      <c r="F145" s="16">
        <v>0</v>
      </c>
      <c r="G145" s="19"/>
      <c r="H145" s="16">
        <v>0</v>
      </c>
    </row>
    <row r="146" spans="1:8">
      <c r="A146" s="20">
        <v>46323</v>
      </c>
      <c r="B146" s="16">
        <v>0</v>
      </c>
      <c r="C146" s="19"/>
      <c r="D146" s="16">
        <v>0</v>
      </c>
      <c r="E146" s="19"/>
      <c r="F146" s="16">
        <v>0</v>
      </c>
      <c r="G146" s="19"/>
      <c r="H146" s="16">
        <v>0</v>
      </c>
    </row>
    <row r="147" spans="1:8">
      <c r="A147" s="20">
        <v>46324</v>
      </c>
      <c r="B147" s="16">
        <v>0</v>
      </c>
      <c r="C147" s="19"/>
      <c r="D147" s="16">
        <v>0</v>
      </c>
      <c r="E147" s="19"/>
      <c r="F147" s="16">
        <v>0</v>
      </c>
      <c r="G147" s="19"/>
      <c r="H147" s="1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workbookViewId="0">
      <selection activeCell="D13" sqref="D13"/>
    </sheetView>
  </sheetViews>
  <sheetFormatPr baseColWidth="10" defaultColWidth="9" defaultRowHeight="14.25"/>
  <cols>
    <col min="1" max="1" width="9.875" bestFit="1" customWidth="1"/>
    <col min="2" max="2" width="21.75" customWidth="1"/>
    <col min="3" max="3" width="14" style="12" customWidth="1"/>
    <col min="4" max="4" width="17.375" customWidth="1"/>
    <col min="5" max="5" width="24.625" bestFit="1" customWidth="1"/>
  </cols>
  <sheetData>
    <row r="1" spans="1:5" ht="15" customHeight="1">
      <c r="A1" t="s">
        <v>0</v>
      </c>
      <c r="B1" t="s">
        <v>5</v>
      </c>
      <c r="C1" s="12" t="s">
        <v>17</v>
      </c>
      <c r="D1" t="s">
        <v>6</v>
      </c>
      <c r="E1" t="s">
        <v>7</v>
      </c>
    </row>
    <row r="2" spans="1:5" s="23" customFormat="1" ht="15" customHeight="1">
      <c r="A2" s="24">
        <v>46324</v>
      </c>
      <c r="B2" s="23">
        <v>34850.118027539997</v>
      </c>
      <c r="C2" s="29">
        <f>+(B2-B3)/B3</f>
        <v>-0.41834621918625453</v>
      </c>
      <c r="D2" s="23" t="s">
        <v>8</v>
      </c>
      <c r="E2" s="5">
        <v>42155.425069182624</v>
      </c>
    </row>
    <row r="3" spans="1:5" s="23" customFormat="1" ht="15" customHeight="1">
      <c r="A3" s="24">
        <v>46323</v>
      </c>
      <c r="B3" s="23">
        <v>59915.570356620003</v>
      </c>
      <c r="C3" s="29">
        <f>+(B3-B4)/B4</f>
        <v>-0.31160945458383571</v>
      </c>
      <c r="D3" s="23" t="s">
        <v>9</v>
      </c>
      <c r="E3" s="5">
        <v>68497.757342013356</v>
      </c>
    </row>
    <row r="4" spans="1:5" s="23" customFormat="1" ht="15" customHeight="1">
      <c r="A4" s="23" t="s">
        <v>41</v>
      </c>
      <c r="B4" s="23">
        <v>87037.177886279998</v>
      </c>
      <c r="C4" s="29">
        <f t="shared" ref="C3:C13" si="0">+(B4-B5)/B5</f>
        <v>-0.54164939036545867</v>
      </c>
      <c r="D4" s="23" t="s">
        <v>10</v>
      </c>
      <c r="E4" s="6">
        <v>85928.931135131905</v>
      </c>
    </row>
    <row r="5" spans="1:5" ht="17.25" customHeight="1">
      <c r="A5" s="24">
        <v>46318</v>
      </c>
      <c r="B5" s="23">
        <v>189892.13945995999</v>
      </c>
      <c r="C5" s="29">
        <f t="shared" si="0"/>
        <v>14.509079849304559</v>
      </c>
      <c r="D5" s="23" t="s">
        <v>29</v>
      </c>
      <c r="E5" s="6">
        <v>22227.4775024345</v>
      </c>
    </row>
    <row r="6" spans="1:5">
      <c r="A6" s="24">
        <v>46317</v>
      </c>
      <c r="B6" s="23">
        <v>12243.93331552</v>
      </c>
      <c r="C6" s="29">
        <f t="shared" si="0"/>
        <v>-0.75767308153526292</v>
      </c>
      <c r="D6" s="23" t="s">
        <v>30</v>
      </c>
      <c r="E6" s="6">
        <v>24565.759999999998</v>
      </c>
    </row>
    <row r="7" spans="1:5">
      <c r="A7" s="24">
        <v>46316</v>
      </c>
      <c r="B7" s="23">
        <v>50526.509366320002</v>
      </c>
      <c r="C7" s="29">
        <f t="shared" si="0"/>
        <v>-0.35247381438929659</v>
      </c>
      <c r="D7" s="23" t="s">
        <v>31</v>
      </c>
      <c r="E7" s="6">
        <v>10177.18</v>
      </c>
    </row>
    <row r="8" spans="1:5">
      <c r="A8" s="24">
        <v>46315</v>
      </c>
      <c r="B8" s="23">
        <v>78030.063477150004</v>
      </c>
      <c r="C8" s="29">
        <f t="shared" si="0"/>
        <v>-0.51127008544838759</v>
      </c>
      <c r="D8" s="23" t="s">
        <v>35</v>
      </c>
      <c r="E8" s="33">
        <v>15136.68</v>
      </c>
    </row>
    <row r="9" spans="1:5">
      <c r="A9" s="24">
        <v>46314</v>
      </c>
      <c r="B9" s="23">
        <v>159658.86505789001</v>
      </c>
      <c r="C9" s="29">
        <f t="shared" si="0"/>
        <v>-0.18383477994159175</v>
      </c>
      <c r="D9" s="23" t="s">
        <v>36</v>
      </c>
      <c r="E9" s="34" t="s">
        <v>37</v>
      </c>
    </row>
    <row r="10" spans="1:5">
      <c r="A10" s="23" t="s">
        <v>40</v>
      </c>
      <c r="B10" s="23">
        <v>195620.76542108</v>
      </c>
      <c r="C10" s="29">
        <f t="shared" si="0"/>
        <v>0.39348231037382758</v>
      </c>
      <c r="D10" s="23" t="s">
        <v>39</v>
      </c>
      <c r="E10" s="39">
        <v>70928.40866225904</v>
      </c>
    </row>
    <row r="11" spans="1:5">
      <c r="A11" s="24">
        <v>46310</v>
      </c>
      <c r="B11" s="23">
        <v>140382.66863150999</v>
      </c>
      <c r="C11" s="29">
        <f t="shared" si="0"/>
        <v>11.24948691206232</v>
      </c>
      <c r="E11" s="34"/>
    </row>
    <row r="12" spans="1:5">
      <c r="A12" s="24">
        <v>46309</v>
      </c>
      <c r="B12" s="23">
        <v>11460.28969534</v>
      </c>
      <c r="C12" s="29">
        <f t="shared" si="0"/>
        <v>-0.88352658705352882</v>
      </c>
    </row>
    <row r="13" spans="1:5">
      <c r="A13" s="24">
        <v>46308</v>
      </c>
      <c r="B13" s="23">
        <v>98394.040368739996</v>
      </c>
      <c r="C13" s="29">
        <f t="shared" si="0"/>
        <v>-0.6788555314993624</v>
      </c>
    </row>
    <row r="14" spans="1:5">
      <c r="A14" s="24">
        <v>46304</v>
      </c>
      <c r="B14" s="23">
        <v>306385.59906737</v>
      </c>
      <c r="C14" s="29">
        <f t="shared" ref="C14:C24" si="1">+(B14-B15)/B15</f>
        <v>9.336258026433894E-2</v>
      </c>
      <c r="E14" s="35"/>
    </row>
    <row r="15" spans="1:5">
      <c r="A15" s="24">
        <v>46303</v>
      </c>
      <c r="B15" s="23">
        <v>280223.23481502</v>
      </c>
      <c r="C15" s="29">
        <f t="shared" si="1"/>
        <v>-3.649289843956157E-2</v>
      </c>
      <c r="E15" s="35"/>
    </row>
    <row r="16" spans="1:5">
      <c r="A16" s="24">
        <v>46302</v>
      </c>
      <c r="B16" s="23">
        <v>290836.70931037999</v>
      </c>
      <c r="C16" s="29">
        <f t="shared" si="1"/>
        <v>3.9357330833461011E-3</v>
      </c>
    </row>
    <row r="17" spans="1:5">
      <c r="A17" s="24">
        <v>46301</v>
      </c>
      <c r="B17" s="23">
        <v>289696.54104963999</v>
      </c>
      <c r="C17" s="29">
        <f t="shared" si="1"/>
        <v>-2.9955821881414251E-2</v>
      </c>
    </row>
    <row r="18" spans="1:5">
      <c r="A18" s="24">
        <v>46300</v>
      </c>
      <c r="B18" s="23">
        <v>298642.62637141999</v>
      </c>
      <c r="C18" s="29">
        <f t="shared" si="1"/>
        <v>-0.13794268733409284</v>
      </c>
    </row>
    <row r="19" spans="1:5">
      <c r="A19" s="24">
        <v>46297</v>
      </c>
      <c r="B19" s="23">
        <v>346430.12939344998</v>
      </c>
      <c r="C19" s="29">
        <f t="shared" si="1"/>
        <v>0.2638202658078479</v>
      </c>
    </row>
    <row r="20" spans="1:5">
      <c r="A20" s="24">
        <v>46296</v>
      </c>
      <c r="B20" s="23">
        <v>274113.44695601001</v>
      </c>
      <c r="C20" s="29">
        <f t="shared" si="1"/>
        <v>0.35910087116479922</v>
      </c>
      <c r="E20" s="7"/>
    </row>
    <row r="21" spans="1:5">
      <c r="A21" s="24">
        <v>46295</v>
      </c>
      <c r="B21" s="23">
        <v>201687.34548826001</v>
      </c>
      <c r="C21" s="29">
        <f t="shared" si="1"/>
        <v>8.8268407504102413</v>
      </c>
      <c r="E21" s="7"/>
    </row>
    <row r="22" spans="1:5">
      <c r="A22" s="24">
        <v>46294</v>
      </c>
      <c r="B22" s="23">
        <v>20524.128823380001</v>
      </c>
      <c r="C22" s="29">
        <f t="shared" si="1"/>
        <v>-0.85681185394119452</v>
      </c>
    </row>
    <row r="23" spans="1:5">
      <c r="A23" s="24">
        <v>46293</v>
      </c>
      <c r="B23" s="23">
        <v>143336.78721526999</v>
      </c>
      <c r="C23" s="29">
        <f t="shared" si="1"/>
        <v>-0.49898704513189668</v>
      </c>
    </row>
    <row r="24" spans="1:5">
      <c r="A24" s="24">
        <v>46290</v>
      </c>
      <c r="B24" s="23">
        <v>286093.97386342002</v>
      </c>
      <c r="C24" s="29">
        <f t="shared" si="1"/>
        <v>0.55858664283872839</v>
      </c>
    </row>
    <row r="25" spans="1:5">
      <c r="A25" s="24">
        <v>46289</v>
      </c>
      <c r="B25" s="23">
        <v>183559.87790473</v>
      </c>
      <c r="C25" s="29">
        <f t="shared" ref="C25:C94" si="2">+(B25-B26)/B26</f>
        <v>5.2320875570372835E-2</v>
      </c>
    </row>
    <row r="26" spans="1:5">
      <c r="A26" s="24">
        <v>46288</v>
      </c>
      <c r="B26" s="23">
        <v>174433.37119511</v>
      </c>
      <c r="C26" s="29">
        <f t="shared" si="2"/>
        <v>0.18793186198768058</v>
      </c>
    </row>
    <row r="27" spans="1:5">
      <c r="A27" s="24">
        <v>46287</v>
      </c>
      <c r="B27" s="23">
        <v>146837.85895197999</v>
      </c>
      <c r="C27" s="29">
        <f t="shared" si="2"/>
        <v>6.7871692861553368E-2</v>
      </c>
    </row>
    <row r="28" spans="1:5">
      <c r="A28" s="24">
        <v>46286</v>
      </c>
      <c r="B28" s="23">
        <v>137505.15153979001</v>
      </c>
      <c r="C28" s="29">
        <f t="shared" si="2"/>
        <v>0.25618058698994745</v>
      </c>
    </row>
    <row r="29" spans="1:5">
      <c r="A29" s="24">
        <v>46283</v>
      </c>
      <c r="B29" s="23">
        <v>109462.8853239</v>
      </c>
      <c r="C29" s="29">
        <f t="shared" si="2"/>
        <v>0.32349555871151542</v>
      </c>
    </row>
    <row r="30" spans="1:5">
      <c r="A30" s="24">
        <v>46282</v>
      </c>
      <c r="B30" s="23">
        <v>82707.40661228</v>
      </c>
      <c r="C30" s="29">
        <f t="shared" si="2"/>
        <v>28.486447660130633</v>
      </c>
    </row>
    <row r="31" spans="1:5">
      <c r="A31" s="24">
        <v>46281</v>
      </c>
      <c r="B31" s="23">
        <v>2804.9294905100001</v>
      </c>
      <c r="C31" s="29">
        <f t="shared" si="2"/>
        <v>54.85948274687906</v>
      </c>
    </row>
    <row r="32" spans="1:5">
      <c r="A32" s="24">
        <v>46280</v>
      </c>
      <c r="B32" s="23">
        <v>50.214025489999997</v>
      </c>
      <c r="C32" s="29">
        <f t="shared" si="2"/>
        <v>0.37097114686342592</v>
      </c>
    </row>
    <row r="33" spans="1:3">
      <c r="A33" s="24">
        <v>46276</v>
      </c>
      <c r="B33" s="23">
        <v>36.626609979999998</v>
      </c>
      <c r="C33" s="29">
        <f t="shared" si="2"/>
        <v>-0.67806849277578529</v>
      </c>
    </row>
    <row r="34" spans="1:3">
      <c r="A34" s="24">
        <v>46275</v>
      </c>
      <c r="B34" s="23">
        <v>113.77143633999999</v>
      </c>
      <c r="C34" s="29">
        <f t="shared" si="2"/>
        <v>18.560573043109468</v>
      </c>
    </row>
    <row r="35" spans="1:3">
      <c r="A35" s="24">
        <v>46274</v>
      </c>
      <c r="B35" s="23">
        <v>5.8163651999999999</v>
      </c>
      <c r="C35" s="29">
        <f t="shared" si="2"/>
        <v>0.64045278098882874</v>
      </c>
    </row>
    <row r="36" spans="1:3">
      <c r="A36" s="24">
        <v>46273</v>
      </c>
      <c r="B36" s="23">
        <v>3.5455852600000002</v>
      </c>
      <c r="C36" s="29">
        <f t="shared" si="2"/>
        <v>-0.82640880552358198</v>
      </c>
    </row>
    <row r="37" spans="1:3">
      <c r="A37" s="24">
        <v>46272</v>
      </c>
      <c r="B37" s="23">
        <v>20.42491424</v>
      </c>
      <c r="C37" s="29">
        <f t="shared" si="2"/>
        <v>2.4737529624349173</v>
      </c>
    </row>
    <row r="38" spans="1:3">
      <c r="A38" s="24">
        <v>46269</v>
      </c>
      <c r="B38" s="23">
        <v>5.8797831800000004</v>
      </c>
      <c r="C38" s="29">
        <f t="shared" si="2"/>
        <v>-0.97953700801723442</v>
      </c>
    </row>
    <row r="39" spans="1:3">
      <c r="A39" s="24">
        <v>46268</v>
      </c>
      <c r="B39" s="23">
        <v>287.33741307000003</v>
      </c>
      <c r="C39" s="29">
        <f t="shared" si="2"/>
        <v>80.163058476193896</v>
      </c>
    </row>
    <row r="40" spans="1:3">
      <c r="A40" s="24">
        <v>46267</v>
      </c>
      <c r="B40" s="23">
        <v>3.5402487100000002</v>
      </c>
      <c r="C40" s="29">
        <f t="shared" si="2"/>
        <v>-0.77463732472189939</v>
      </c>
    </row>
    <row r="41" spans="1:3">
      <c r="A41" s="24">
        <v>46266</v>
      </c>
      <c r="B41" s="23">
        <v>15.709117340000001</v>
      </c>
      <c r="C41" s="29">
        <f t="shared" si="2"/>
        <v>-0.99727371031195</v>
      </c>
    </row>
    <row r="42" spans="1:3">
      <c r="A42" s="24">
        <v>46265</v>
      </c>
      <c r="B42" s="23">
        <v>5762.0866222900004</v>
      </c>
      <c r="C42" s="29">
        <f t="shared" si="2"/>
        <v>1028.4103166122507</v>
      </c>
    </row>
    <row r="43" spans="1:3">
      <c r="A43" s="24">
        <v>46262</v>
      </c>
      <c r="B43" s="23">
        <v>5.5974634500000002</v>
      </c>
      <c r="C43" s="29">
        <f t="shared" si="2"/>
        <v>-0.98760095272084658</v>
      </c>
    </row>
    <row r="44" spans="1:3">
      <c r="A44" s="24">
        <v>46261</v>
      </c>
      <c r="B44" s="23">
        <v>451.44302815999998</v>
      </c>
      <c r="C44" s="29">
        <f t="shared" si="2"/>
        <v>98.812318362183703</v>
      </c>
    </row>
    <row r="45" spans="1:3">
      <c r="A45" s="24">
        <v>46260</v>
      </c>
      <c r="B45" s="23">
        <v>4.5229189700000001</v>
      </c>
      <c r="C45" s="29">
        <f t="shared" si="2"/>
        <v>-0.9864837734804992</v>
      </c>
    </row>
    <row r="46" spans="1:3">
      <c r="A46" s="24">
        <v>46259</v>
      </c>
      <c r="B46" s="23">
        <v>334.62882287999997</v>
      </c>
      <c r="C46" s="29">
        <f t="shared" si="2"/>
        <v>74.639780601233326</v>
      </c>
    </row>
    <row r="47" spans="1:3">
      <c r="A47" s="24">
        <v>46256</v>
      </c>
      <c r="B47" s="23">
        <v>4.4239792900000001</v>
      </c>
      <c r="C47" s="29">
        <f t="shared" si="2"/>
        <v>-0.96494750708048294</v>
      </c>
    </row>
    <row r="48" spans="1:3">
      <c r="A48" s="24">
        <v>46255</v>
      </c>
      <c r="B48" s="23">
        <v>126.21011864</v>
      </c>
      <c r="C48" s="29">
        <f t="shared" si="2"/>
        <v>71.190985743560688</v>
      </c>
    </row>
    <row r="49" spans="1:3">
      <c r="A49" s="24">
        <v>46254</v>
      </c>
      <c r="B49" s="23">
        <v>1.7482808599999999</v>
      </c>
      <c r="C49" s="29">
        <f t="shared" si="2"/>
        <v>-5.8184422793468707E-2</v>
      </c>
    </row>
    <row r="50" spans="1:3">
      <c r="A50" s="24">
        <v>46253</v>
      </c>
      <c r="B50" s="23">
        <v>1.8562879000000001</v>
      </c>
      <c r="C50" s="29">
        <f t="shared" si="2"/>
        <v>2.7977445325652688E-3</v>
      </c>
    </row>
    <row r="51" spans="1:3">
      <c r="A51" s="24">
        <v>46252</v>
      </c>
      <c r="B51" s="23">
        <v>1.8511089700000001</v>
      </c>
      <c r="C51" s="29">
        <f t="shared" si="2"/>
        <v>-0.85226798513183877</v>
      </c>
    </row>
    <row r="52" spans="1:3">
      <c r="A52" s="24">
        <v>46251</v>
      </c>
      <c r="B52" s="23">
        <v>12.53018157</v>
      </c>
      <c r="C52" s="29">
        <f t="shared" si="2"/>
        <v>1.9051656117130662</v>
      </c>
    </row>
    <row r="53" spans="1:3">
      <c r="A53" s="24">
        <v>46248</v>
      </c>
      <c r="B53" s="23">
        <v>4.3130696300000002</v>
      </c>
      <c r="C53" s="29">
        <f t="shared" si="2"/>
        <v>0.67644958648237985</v>
      </c>
    </row>
    <row r="54" spans="1:3">
      <c r="A54" s="24">
        <v>46247</v>
      </c>
      <c r="B54" s="23">
        <v>2.5727404300000001</v>
      </c>
      <c r="C54" s="29">
        <f t="shared" si="2"/>
        <v>7.9800987331472867E-2</v>
      </c>
    </row>
    <row r="55" spans="1:3">
      <c r="A55" s="24">
        <v>46246</v>
      </c>
      <c r="B55" s="23">
        <v>2.3826061100000002</v>
      </c>
      <c r="C55" s="29">
        <f t="shared" si="2"/>
        <v>-0.998836660607344</v>
      </c>
    </row>
    <row r="56" spans="1:3">
      <c r="A56" s="24">
        <v>46245</v>
      </c>
      <c r="B56" s="23">
        <v>2048.0748137999999</v>
      </c>
      <c r="C56" s="29">
        <f t="shared" si="2"/>
        <v>493.39746561225513</v>
      </c>
    </row>
    <row r="57" spans="1:3">
      <c r="A57" s="24">
        <v>46244</v>
      </c>
      <c r="B57" s="23">
        <v>4.14256738</v>
      </c>
      <c r="C57" s="29">
        <f t="shared" si="2"/>
        <v>-0.99973486131357592</v>
      </c>
    </row>
    <row r="58" spans="1:3">
      <c r="A58" s="24">
        <v>46241</v>
      </c>
      <c r="B58" s="23">
        <v>15624.152913600001</v>
      </c>
      <c r="C58" s="29">
        <f t="shared" si="2"/>
        <v>4796.873754983676</v>
      </c>
    </row>
    <row r="59" spans="1:3">
      <c r="A59" s="24">
        <v>46240</v>
      </c>
      <c r="B59" s="23">
        <v>3.2564743699999998</v>
      </c>
      <c r="C59" s="29">
        <f t="shared" si="2"/>
        <v>0.15942681787904545</v>
      </c>
    </row>
    <row r="60" spans="1:3">
      <c r="A60" s="24">
        <v>46239</v>
      </c>
      <c r="B60" s="23">
        <v>2.8086933300000001</v>
      </c>
      <c r="C60" s="29">
        <f t="shared" si="2"/>
        <v>-0.99437447438816284</v>
      </c>
    </row>
    <row r="61" spans="1:3">
      <c r="A61" s="24">
        <v>46238</v>
      </c>
      <c r="B61" s="23">
        <v>499.27660521000001</v>
      </c>
      <c r="C61" s="29">
        <f t="shared" si="2"/>
        <v>75.11816589074563</v>
      </c>
    </row>
    <row r="62" spans="1:3">
      <c r="A62" s="24">
        <v>46237</v>
      </c>
      <c r="B62" s="23">
        <v>6.5592306300000001</v>
      </c>
      <c r="C62" s="29">
        <f t="shared" si="2"/>
        <v>-0.99966330474421161</v>
      </c>
    </row>
    <row r="63" spans="1:3">
      <c r="A63" s="24">
        <v>46234</v>
      </c>
      <c r="B63" s="23">
        <v>19481.20894855</v>
      </c>
      <c r="C63" s="29">
        <f t="shared" si="2"/>
        <v>40.77506746658235</v>
      </c>
    </row>
    <row r="64" spans="1:3">
      <c r="A64" s="24">
        <v>46233</v>
      </c>
      <c r="B64">
        <v>466.33578662999997</v>
      </c>
      <c r="C64" s="29">
        <f t="shared" si="2"/>
        <v>3.5918026507549188</v>
      </c>
    </row>
    <row r="65" spans="1:3">
      <c r="A65" s="24">
        <v>46232</v>
      </c>
      <c r="B65" s="23">
        <v>101.55832515</v>
      </c>
      <c r="C65" s="29">
        <f t="shared" si="2"/>
        <v>22.269067927747528</v>
      </c>
    </row>
    <row r="66" spans="1:3">
      <c r="A66" s="24">
        <v>46231</v>
      </c>
      <c r="B66" s="23">
        <v>4.3645205499999999</v>
      </c>
      <c r="C66" s="29">
        <f t="shared" si="2"/>
        <v>-0.98047278251084946</v>
      </c>
    </row>
    <row r="67" spans="1:3">
      <c r="A67" s="24">
        <v>46108</v>
      </c>
      <c r="B67" s="23">
        <v>223.50959897000001</v>
      </c>
      <c r="C67" s="29">
        <f t="shared" si="2"/>
        <v>-0.99220607504587943</v>
      </c>
    </row>
    <row r="68" spans="1:3">
      <c r="A68" s="24">
        <v>46226</v>
      </c>
      <c r="B68" s="23">
        <v>28677.412251940001</v>
      </c>
      <c r="C68" s="29">
        <f t="shared" si="2"/>
        <v>32.413800410299046</v>
      </c>
    </row>
    <row r="69" spans="1:3">
      <c r="A69" s="24">
        <v>46225</v>
      </c>
      <c r="B69" s="23">
        <v>858.25054019000004</v>
      </c>
      <c r="C69" s="29">
        <f t="shared" si="2"/>
        <v>41.77708649767068</v>
      </c>
    </row>
    <row r="70" spans="1:3">
      <c r="A70" s="24">
        <v>46224</v>
      </c>
      <c r="B70" s="23">
        <v>20.063323860000001</v>
      </c>
      <c r="C70" s="29">
        <f t="shared" si="2"/>
        <v>-0.99734079323279778</v>
      </c>
    </row>
    <row r="71" spans="1:3">
      <c r="A71" s="24">
        <v>46220</v>
      </c>
      <c r="B71" s="23">
        <v>7544.8528890099997</v>
      </c>
      <c r="C71" s="29">
        <f t="shared" si="2"/>
        <v>-0.54491271467140989</v>
      </c>
    </row>
    <row r="72" spans="1:3">
      <c r="A72" s="24">
        <v>46219</v>
      </c>
      <c r="B72" s="23">
        <v>16578.913830919999</v>
      </c>
      <c r="C72" s="29">
        <f t="shared" si="2"/>
        <v>1.1008050673763534</v>
      </c>
    </row>
    <row r="73" spans="1:3">
      <c r="A73" s="24">
        <v>46218</v>
      </c>
      <c r="B73" s="23">
        <v>7891.6954687400003</v>
      </c>
      <c r="C73" s="29">
        <f t="shared" si="2"/>
        <v>-0.79678113606112111</v>
      </c>
    </row>
    <row r="74" spans="1:3">
      <c r="A74" s="24">
        <v>46217</v>
      </c>
      <c r="B74" s="23">
        <v>38833.478919130001</v>
      </c>
      <c r="C74" s="29">
        <f t="shared" si="2"/>
        <v>-0.25771272667553924</v>
      </c>
    </row>
    <row r="75" spans="1:3">
      <c r="A75" s="24">
        <v>46216</v>
      </c>
      <c r="B75" s="23">
        <v>52315.97026473</v>
      </c>
      <c r="C75" s="29">
        <f t="shared" si="2"/>
        <v>-0.19048561913228002</v>
      </c>
    </row>
    <row r="76" spans="1:3">
      <c r="A76" s="24">
        <v>46213</v>
      </c>
      <c r="B76" s="23">
        <v>64626.363040830001</v>
      </c>
      <c r="C76" s="29">
        <f t="shared" si="2"/>
        <v>1.2916911129109088</v>
      </c>
    </row>
    <row r="77" spans="1:3">
      <c r="A77" s="24">
        <v>46212</v>
      </c>
      <c r="B77" s="23">
        <v>28200.29395617</v>
      </c>
      <c r="C77" s="29">
        <f t="shared" si="2"/>
        <v>2.65997178100841</v>
      </c>
    </row>
    <row r="78" spans="1:3">
      <c r="A78" s="24">
        <v>46211</v>
      </c>
      <c r="B78" s="23">
        <v>7705.0577555</v>
      </c>
      <c r="C78" s="29">
        <f t="shared" si="2"/>
        <v>0.84099979813836301</v>
      </c>
    </row>
    <row r="79" spans="1:3">
      <c r="A79" s="24">
        <v>46210</v>
      </c>
      <c r="B79" s="23">
        <v>4185.2572516800001</v>
      </c>
      <c r="C79" s="29">
        <f t="shared" si="2"/>
        <v>-0.5358672604044985</v>
      </c>
    </row>
    <row r="80" spans="1:3">
      <c r="A80" s="24">
        <v>46209</v>
      </c>
      <c r="B80" s="23">
        <v>9017.3713134900008</v>
      </c>
      <c r="C80" s="29">
        <f t="shared" si="2"/>
        <v>-0.47344417767330416</v>
      </c>
    </row>
    <row r="81" spans="1:3">
      <c r="A81" s="24">
        <v>46206</v>
      </c>
      <c r="B81" s="23">
        <v>17125.195337590001</v>
      </c>
      <c r="C81" s="29">
        <f t="shared" si="2"/>
        <v>-0.39167454677290181</v>
      </c>
    </row>
    <row r="82" spans="1:3">
      <c r="A82" s="24">
        <v>46205</v>
      </c>
      <c r="B82" s="23">
        <v>28151.370695969999</v>
      </c>
      <c r="C82" s="29">
        <f t="shared" si="2"/>
        <v>27.450841046685248</v>
      </c>
    </row>
    <row r="83" spans="1:3">
      <c r="A83" s="24">
        <v>46204</v>
      </c>
      <c r="B83" s="23">
        <v>989.47411254999997</v>
      </c>
      <c r="C83" s="29">
        <f t="shared" si="2"/>
        <v>-0.82605795449481512</v>
      </c>
    </row>
    <row r="84" spans="1:3">
      <c r="A84" s="24">
        <v>46203</v>
      </c>
      <c r="B84" s="23">
        <v>5688.5275189000004</v>
      </c>
      <c r="C84" s="29">
        <f t="shared" si="2"/>
        <v>-0.82035890094428965</v>
      </c>
    </row>
    <row r="85" spans="1:3">
      <c r="A85" s="24">
        <v>46198</v>
      </c>
      <c r="B85" s="23">
        <v>31666.069450710002</v>
      </c>
      <c r="C85" s="29">
        <f t="shared" si="2"/>
        <v>12.096519032059602</v>
      </c>
    </row>
    <row r="86" spans="1:3">
      <c r="A86" s="24">
        <v>46196</v>
      </c>
      <c r="B86" s="23">
        <v>2417.8997009200002</v>
      </c>
      <c r="C86" s="29">
        <f t="shared" si="2"/>
        <v>0.40878477030033311</v>
      </c>
    </row>
    <row r="87" spans="1:3">
      <c r="A87" s="24">
        <v>46195</v>
      </c>
      <c r="B87" s="23">
        <v>1716.30170335</v>
      </c>
      <c r="C87" s="29">
        <f t="shared" si="2"/>
        <v>103.40487339188886</v>
      </c>
    </row>
    <row r="88" spans="1:3">
      <c r="A88" s="24">
        <v>46192</v>
      </c>
      <c r="B88" s="23">
        <v>16.43890412</v>
      </c>
      <c r="C88" s="29">
        <f t="shared" si="2"/>
        <v>-0.93907248343987781</v>
      </c>
    </row>
    <row r="89" spans="1:3">
      <c r="A89" s="24">
        <v>46191</v>
      </c>
      <c r="B89" s="23">
        <v>269.81083503999997</v>
      </c>
      <c r="C89" s="29">
        <f t="shared" si="2"/>
        <v>-0.88259974628484428</v>
      </c>
    </row>
    <row r="90" spans="1:3">
      <c r="A90" s="24">
        <v>46190</v>
      </c>
      <c r="B90" s="23">
        <v>2298.2133896800001</v>
      </c>
      <c r="C90" s="29">
        <f t="shared" si="2"/>
        <v>0.90523755264044037</v>
      </c>
    </row>
    <row r="91" spans="1:3">
      <c r="A91" s="24">
        <v>46189</v>
      </c>
      <c r="B91" s="23">
        <v>1206.260808</v>
      </c>
      <c r="C91" s="29">
        <f t="shared" si="2"/>
        <v>142.26137862232778</v>
      </c>
    </row>
    <row r="92" spans="1:3">
      <c r="A92" s="24">
        <v>46188</v>
      </c>
      <c r="B92" s="23">
        <v>8.42</v>
      </c>
      <c r="C92" s="29">
        <f t="shared" si="2"/>
        <v>-0.5604660313731078</v>
      </c>
    </row>
    <row r="93" spans="1:3">
      <c r="A93" s="24">
        <v>46185</v>
      </c>
      <c r="B93" s="23">
        <v>19.156653639999998</v>
      </c>
      <c r="C93" s="29">
        <f t="shared" si="2"/>
        <v>0.50703525245440206</v>
      </c>
    </row>
    <row r="94" spans="1:3">
      <c r="A94" s="24">
        <v>46184</v>
      </c>
      <c r="B94" s="23">
        <v>12.711483429999999</v>
      </c>
      <c r="C94" s="29">
        <f t="shared" si="2"/>
        <v>-0.99943660659465605</v>
      </c>
    </row>
    <row r="95" spans="1:3">
      <c r="A95" s="24">
        <v>46183</v>
      </c>
      <c r="B95" s="23">
        <v>22562.357509739999</v>
      </c>
      <c r="C95" s="29">
        <f t="shared" ref="C95:C136" si="3">+(B95-B96)/B96</f>
        <v>5.2639483520141219</v>
      </c>
    </row>
    <row r="96" spans="1:3">
      <c r="A96" s="24">
        <v>46182</v>
      </c>
      <c r="B96" s="23">
        <v>3601.9386242999999</v>
      </c>
      <c r="C96" s="29">
        <f t="shared" si="3"/>
        <v>-0.93820968147801931</v>
      </c>
    </row>
    <row r="97" spans="1:4">
      <c r="A97" s="24">
        <v>46178</v>
      </c>
      <c r="B97" s="23">
        <v>58292.928576159997</v>
      </c>
      <c r="C97" s="29">
        <f t="shared" si="3"/>
        <v>5.2345136037951523</v>
      </c>
    </row>
    <row r="98" spans="1:4">
      <c r="A98" s="24">
        <v>46177</v>
      </c>
      <c r="B98" s="23">
        <v>9350.0363108799993</v>
      </c>
      <c r="C98" s="29">
        <f t="shared" si="3"/>
        <v>1.8327551324816331</v>
      </c>
    </row>
    <row r="99" spans="1:4">
      <c r="A99" s="24">
        <v>46176</v>
      </c>
      <c r="B99" s="23">
        <v>3300.6863896099999</v>
      </c>
      <c r="C99" s="29">
        <f t="shared" si="3"/>
        <v>-0.88947445735006914</v>
      </c>
    </row>
    <row r="100" spans="1:4">
      <c r="A100" s="24">
        <v>46175</v>
      </c>
      <c r="B100" s="23">
        <v>29863.561946620001</v>
      </c>
      <c r="C100" s="29">
        <f t="shared" si="3"/>
        <v>539.15459406063144</v>
      </c>
    </row>
    <row r="101" spans="1:4">
      <c r="A101" s="24">
        <v>46174</v>
      </c>
      <c r="B101" s="23">
        <v>55.287064620000002</v>
      </c>
      <c r="C101" s="29">
        <f t="shared" si="3"/>
        <v>-0.99834811895033015</v>
      </c>
    </row>
    <row r="102" spans="1:4">
      <c r="A102" s="24">
        <v>46171</v>
      </c>
      <c r="B102" s="23">
        <v>33469.1560455</v>
      </c>
      <c r="C102" s="29">
        <f t="shared" si="3"/>
        <v>2.616728100871637</v>
      </c>
    </row>
    <row r="103" spans="1:4">
      <c r="A103" s="24">
        <v>45074</v>
      </c>
      <c r="B103" s="23">
        <v>9253.9873366299998</v>
      </c>
      <c r="C103" s="29">
        <f t="shared" si="3"/>
        <v>425.96466507526281</v>
      </c>
    </row>
    <row r="104" spans="1:4">
      <c r="A104" s="24">
        <v>46169</v>
      </c>
      <c r="B104" s="23">
        <v>21.673895040000001</v>
      </c>
      <c r="C104" s="29">
        <f t="shared" si="3"/>
        <v>-0.99745431244335425</v>
      </c>
    </row>
    <row r="105" spans="1:4">
      <c r="A105" s="24">
        <v>46168</v>
      </c>
      <c r="B105" s="23">
        <v>8513.9651106900001</v>
      </c>
      <c r="C105" s="29">
        <f t="shared" si="3"/>
        <v>-0.31892665326814518</v>
      </c>
      <c r="D105" s="36"/>
    </row>
    <row r="106" spans="1:4">
      <c r="A106" s="24">
        <v>46167</v>
      </c>
      <c r="B106" s="23">
        <v>12500.80501835</v>
      </c>
      <c r="C106" s="29">
        <f t="shared" si="3"/>
        <v>-0.78753584478722383</v>
      </c>
    </row>
    <row r="107" spans="1:4">
      <c r="A107" s="24">
        <v>46164</v>
      </c>
      <c r="B107" s="23">
        <v>58837.242479</v>
      </c>
      <c r="C107" s="29">
        <f t="shared" si="3"/>
        <v>1063.8095709311931</v>
      </c>
    </row>
    <row r="108" spans="1:4">
      <c r="A108" s="24">
        <v>46163</v>
      </c>
      <c r="B108" s="23">
        <v>55.256117230000001</v>
      </c>
      <c r="C108" s="29">
        <f t="shared" si="3"/>
        <v>-0.99728557445032884</v>
      </c>
    </row>
    <row r="109" spans="1:4">
      <c r="A109" s="24">
        <v>46162</v>
      </c>
      <c r="B109" s="23">
        <v>20356.468143580001</v>
      </c>
      <c r="C109" s="29">
        <f t="shared" si="3"/>
        <v>-0.71845195425328001</v>
      </c>
    </row>
    <row r="110" spans="1:4">
      <c r="A110" s="24">
        <v>46161</v>
      </c>
      <c r="B110" s="23">
        <v>72301.933723569993</v>
      </c>
      <c r="C110" s="29">
        <f t="shared" si="3"/>
        <v>-2.5709262214296945E-2</v>
      </c>
      <c r="D110" s="35"/>
    </row>
    <row r="111" spans="1:4">
      <c r="A111" s="24">
        <v>46157</v>
      </c>
      <c r="B111" s="23">
        <v>74209.813271849998</v>
      </c>
      <c r="C111" s="29">
        <f t="shared" si="3"/>
        <v>35.243819791014161</v>
      </c>
    </row>
    <row r="112" spans="1:4">
      <c r="A112" s="24">
        <v>46156</v>
      </c>
      <c r="B112" s="23">
        <v>2047.5163407099999</v>
      </c>
      <c r="C112" s="29">
        <f t="shared" si="3"/>
        <v>82.182099964255912</v>
      </c>
      <c r="D112" s="35"/>
    </row>
    <row r="113" spans="1:3">
      <c r="A113" s="24">
        <v>46155</v>
      </c>
      <c r="B113" s="23">
        <v>24.614867159999999</v>
      </c>
      <c r="C113" s="29">
        <f t="shared" si="3"/>
        <v>-0.96342609797465562</v>
      </c>
    </row>
    <row r="114" spans="1:3">
      <c r="A114" s="24">
        <v>46154</v>
      </c>
      <c r="B114" s="23">
        <v>673.01725538999995</v>
      </c>
      <c r="C114" s="29">
        <f t="shared" si="3"/>
        <v>-0.95811572537747924</v>
      </c>
    </row>
    <row r="115" spans="1:3">
      <c r="A115" s="24">
        <v>46153</v>
      </c>
      <c r="B115" s="23">
        <v>16068.49495319</v>
      </c>
      <c r="C115" s="29">
        <f t="shared" si="3"/>
        <v>-0.32064889280191988</v>
      </c>
    </row>
    <row r="116" spans="1:3">
      <c r="A116" s="24">
        <v>46150</v>
      </c>
      <c r="B116" s="23">
        <v>23652.710333340001</v>
      </c>
      <c r="C116" s="29">
        <f t="shared" si="3"/>
        <v>178.18998455533497</v>
      </c>
    </row>
    <row r="117" spans="1:3">
      <c r="A117" s="22">
        <v>46149</v>
      </c>
      <c r="B117" s="21">
        <v>131.99794839</v>
      </c>
      <c r="C117" s="29">
        <f t="shared" si="3"/>
        <v>-0.82294618034282907</v>
      </c>
    </row>
    <row r="118" spans="1:3">
      <c r="A118" s="17">
        <v>46148</v>
      </c>
      <c r="B118" s="15">
        <v>745.52443231999996</v>
      </c>
      <c r="C118" s="29">
        <f t="shared" si="3"/>
        <v>-0.99115816107458954</v>
      </c>
    </row>
    <row r="119" spans="1:3">
      <c r="A119" s="17">
        <v>46147</v>
      </c>
      <c r="B119" s="15">
        <v>84317.802960360001</v>
      </c>
      <c r="C119" s="29">
        <f t="shared" si="3"/>
        <v>0.70107388483787059</v>
      </c>
    </row>
    <row r="120" spans="1:3">
      <c r="A120" s="17">
        <v>46146</v>
      </c>
      <c r="B120" s="15">
        <v>49567.396050169998</v>
      </c>
      <c r="C120" s="29">
        <f t="shared" si="3"/>
        <v>-0.43255825515735763</v>
      </c>
    </row>
    <row r="121" spans="1:3">
      <c r="A121" s="18">
        <v>46142</v>
      </c>
      <c r="B121" s="15">
        <v>87352.396084139997</v>
      </c>
      <c r="C121" s="29">
        <f t="shared" si="3"/>
        <v>2.0773664296544805</v>
      </c>
    </row>
    <row r="122" spans="1:3">
      <c r="A122" s="18">
        <v>46141</v>
      </c>
      <c r="B122" s="15">
        <v>28385.438679769999</v>
      </c>
      <c r="C122" s="29">
        <f t="shared" si="3"/>
        <v>-0.59636256133262866</v>
      </c>
    </row>
    <row r="123" spans="1:3">
      <c r="A123" s="18">
        <v>46140</v>
      </c>
      <c r="B123" s="15">
        <v>70324.097718699995</v>
      </c>
      <c r="C123" s="29">
        <f t="shared" si="3"/>
        <v>0.74333012643706198</v>
      </c>
    </row>
    <row r="124" spans="1:3">
      <c r="A124" s="18">
        <v>46139</v>
      </c>
      <c r="B124" s="15">
        <v>40338.944788629997</v>
      </c>
      <c r="C124" s="29">
        <f t="shared" si="3"/>
        <v>-0.33842006324553126</v>
      </c>
    </row>
    <row r="125" spans="1:3">
      <c r="A125" s="18">
        <v>46136</v>
      </c>
      <c r="B125" s="15">
        <v>60973.651931649998</v>
      </c>
      <c r="C125" s="29">
        <f t="shared" si="3"/>
        <v>12.106463903543759</v>
      </c>
    </row>
    <row r="126" spans="1:3">
      <c r="A126" s="18">
        <v>46135</v>
      </c>
      <c r="B126" s="15">
        <v>4652.1817311200002</v>
      </c>
      <c r="C126" s="29">
        <f t="shared" si="3"/>
        <v>-0.73032401489373799</v>
      </c>
    </row>
    <row r="127" spans="1:3">
      <c r="A127" s="18">
        <v>46134</v>
      </c>
      <c r="B127" s="15">
        <v>17251.00486529</v>
      </c>
      <c r="C127" s="29">
        <f t="shared" si="3"/>
        <v>-0.64046760511667533</v>
      </c>
    </row>
    <row r="128" spans="1:3">
      <c r="A128" s="18">
        <v>46133</v>
      </c>
      <c r="B128" s="15">
        <v>47981.781644150004</v>
      </c>
      <c r="C128" s="29">
        <f t="shared" si="3"/>
        <v>-6.5402088492716129E-2</v>
      </c>
    </row>
    <row r="129" spans="1:3">
      <c r="A129" s="18">
        <v>46132</v>
      </c>
      <c r="B129" s="15">
        <v>51339.49161813</v>
      </c>
      <c r="C129" s="29">
        <f t="shared" si="3"/>
        <v>1.9819948129202027</v>
      </c>
    </row>
    <row r="130" spans="1:3">
      <c r="A130" s="18">
        <v>46129</v>
      </c>
      <c r="B130" s="15">
        <v>17216.492596060001</v>
      </c>
      <c r="C130" s="29">
        <f t="shared" si="3"/>
        <v>910.40237411852581</v>
      </c>
    </row>
    <row r="131" spans="1:3">
      <c r="A131" s="18">
        <v>46128</v>
      </c>
      <c r="B131" s="15">
        <v>18.890111640000001</v>
      </c>
      <c r="C131" s="29">
        <f t="shared" si="3"/>
        <v>0.19572063797541306</v>
      </c>
    </row>
    <row r="132" spans="1:3">
      <c r="A132" s="18">
        <v>46127</v>
      </c>
      <c r="B132" s="38">
        <v>15.79809785</v>
      </c>
      <c r="C132" s="29">
        <f t="shared" si="3"/>
        <v>-2.5764893835585476E-2</v>
      </c>
    </row>
    <row r="133" spans="1:3">
      <c r="A133" s="18">
        <v>46126</v>
      </c>
      <c r="B133" s="38">
        <v>16.215898760000002</v>
      </c>
      <c r="C133" s="29">
        <f t="shared" si="3"/>
        <v>-0.99344926580920656</v>
      </c>
    </row>
    <row r="134" spans="1:3">
      <c r="A134" s="18">
        <v>46125</v>
      </c>
      <c r="B134" s="15">
        <v>2475.4322626600001</v>
      </c>
      <c r="C134" s="29">
        <f t="shared" si="3"/>
        <v>-0.68887087467151309</v>
      </c>
    </row>
    <row r="135" spans="1:3">
      <c r="A135" s="18">
        <v>46122</v>
      </c>
      <c r="B135" s="15">
        <v>7956.2858669899997</v>
      </c>
      <c r="C135" s="29">
        <f t="shared" si="3"/>
        <v>190.54886991293833</v>
      </c>
    </row>
    <row r="136" spans="1:3">
      <c r="A136" s="18">
        <v>46121</v>
      </c>
      <c r="B136" s="15">
        <v>41.536584740000002</v>
      </c>
      <c r="C136" s="29">
        <f t="shared" si="3"/>
        <v>-0.92845434694034024</v>
      </c>
    </row>
    <row r="137" spans="1:3">
      <c r="A137" s="18">
        <v>46120</v>
      </c>
      <c r="B137" s="15">
        <v>580.56056466999996</v>
      </c>
      <c r="C137" s="29">
        <f>+(B137-B138)/B138</f>
        <v>3.9632497533121036</v>
      </c>
    </row>
    <row r="138" spans="1:3">
      <c r="A138" s="18">
        <v>46119</v>
      </c>
      <c r="B138" s="15">
        <v>116.97186189</v>
      </c>
    </row>
    <row r="139" spans="1:3">
      <c r="A139" s="18">
        <v>46118</v>
      </c>
      <c r="B139" s="15">
        <v>6972.36861443</v>
      </c>
    </row>
    <row r="140" spans="1:3">
      <c r="A140" s="18">
        <v>46113</v>
      </c>
      <c r="B140" s="15">
        <v>540.00852741999995</v>
      </c>
    </row>
    <row r="141" spans="1:3">
      <c r="A141" s="18">
        <v>46112</v>
      </c>
      <c r="B141" s="15">
        <v>5262.3389565099997</v>
      </c>
    </row>
    <row r="142" spans="1:3">
      <c r="A142" s="18">
        <v>46111</v>
      </c>
      <c r="B142" s="15">
        <v>22969.58967849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7" sqref="A7"/>
    </sheetView>
  </sheetViews>
  <sheetFormatPr baseColWidth="10" defaultColWidth="9" defaultRowHeight="14.25"/>
  <cols>
    <col min="1" max="1" width="17" customWidth="1"/>
    <col min="2" max="2" width="19.25" customWidth="1"/>
    <col min="3" max="3" width="12.625" customWidth="1"/>
    <col min="4" max="4" width="20" customWidth="1"/>
  </cols>
  <sheetData>
    <row r="1" spans="1:7">
      <c r="A1" t="s">
        <v>11</v>
      </c>
      <c r="B1" t="s">
        <v>12</v>
      </c>
      <c r="C1" t="s">
        <v>13</v>
      </c>
      <c r="D1" t="s">
        <v>14</v>
      </c>
    </row>
    <row r="2" spans="1:7">
      <c r="A2" s="23" t="s">
        <v>30</v>
      </c>
      <c r="B2" s="16">
        <v>251306.31</v>
      </c>
      <c r="C2" s="16">
        <v>13226.65</v>
      </c>
      <c r="D2" s="23">
        <v>188.96</v>
      </c>
    </row>
    <row r="3" spans="1:7" ht="15">
      <c r="A3" s="23" t="s">
        <v>31</v>
      </c>
      <c r="B3" s="16">
        <v>254788.61</v>
      </c>
      <c r="C3" s="16">
        <v>13409.93</v>
      </c>
      <c r="D3" s="7">
        <v>245.29</v>
      </c>
      <c r="G3" s="32" t="s">
        <v>32</v>
      </c>
    </row>
    <row r="4" spans="1:7" ht="15">
      <c r="A4" s="23" t="s">
        <v>35</v>
      </c>
      <c r="B4" s="16">
        <v>40192.65</v>
      </c>
      <c r="C4" s="16">
        <v>1826.94</v>
      </c>
      <c r="D4" s="7">
        <v>81.88</v>
      </c>
      <c r="G4" s="32" t="s">
        <v>33</v>
      </c>
    </row>
    <row r="5" spans="1:7" ht="15">
      <c r="A5" s="23" t="s">
        <v>36</v>
      </c>
      <c r="B5" s="16">
        <v>10939.03</v>
      </c>
      <c r="C5" s="7">
        <v>520.91</v>
      </c>
      <c r="D5" s="7">
        <v>114.6</v>
      </c>
      <c r="G5" s="32" t="s">
        <v>34</v>
      </c>
    </row>
    <row r="6" spans="1:7">
      <c r="A6" t="s">
        <v>39</v>
      </c>
      <c r="B6" s="16">
        <v>155817.19145900002</v>
      </c>
      <c r="C6" s="16">
        <v>7419.8662599523823</v>
      </c>
      <c r="D6" s="16">
        <v>40.520000000000003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3" workbookViewId="0">
      <selection activeCell="E40" sqref="E40"/>
    </sheetView>
  </sheetViews>
  <sheetFormatPr baseColWidth="10" defaultColWidth="9" defaultRowHeight="14.25"/>
  <cols>
    <col min="1" max="1" width="9.875" bestFit="1" customWidth="1"/>
    <col min="2" max="2" width="15.375" bestFit="1" customWidth="1"/>
    <col min="3" max="3" width="9.625" bestFit="1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 s="2">
        <v>46024</v>
      </c>
      <c r="B2" s="1">
        <v>680053310.5984205</v>
      </c>
      <c r="C2" s="3"/>
    </row>
    <row r="3" spans="1:3" ht="15" thickBot="1">
      <c r="A3" s="2">
        <v>46031</v>
      </c>
      <c r="B3" s="1">
        <v>631055414.05422926</v>
      </c>
      <c r="C3" s="4">
        <v>-7.2050081634151582</v>
      </c>
    </row>
    <row r="4" spans="1:3" ht="15" thickBot="1">
      <c r="A4" s="2">
        <v>46038</v>
      </c>
      <c r="B4" s="1">
        <v>687738190.99875975</v>
      </c>
      <c r="C4" s="4">
        <v>8.9822186264706527</v>
      </c>
    </row>
    <row r="5" spans="1:3" ht="15" thickBot="1">
      <c r="A5" s="2">
        <v>46045</v>
      </c>
      <c r="B5" s="1">
        <v>728876050.32802963</v>
      </c>
      <c r="C5" s="4">
        <v>5.9816162411350033</v>
      </c>
    </row>
    <row r="6" spans="1:3" ht="15" thickBot="1">
      <c r="A6" s="2">
        <v>46052</v>
      </c>
      <c r="B6" s="1">
        <v>839643409.76085114</v>
      </c>
      <c r="C6" s="4">
        <v>15.197009063882785</v>
      </c>
    </row>
    <row r="7" spans="1:3" ht="15" thickBot="1">
      <c r="A7" s="2">
        <v>46059</v>
      </c>
      <c r="B7" s="1">
        <v>818274973.23848069</v>
      </c>
      <c r="C7" s="4">
        <v>-2.5449418495950149</v>
      </c>
    </row>
    <row r="8" spans="1:3" ht="15" thickBot="1">
      <c r="A8" s="2">
        <v>46066</v>
      </c>
      <c r="B8" s="1">
        <v>801808360.23688257</v>
      </c>
      <c r="C8" s="4">
        <v>-2.0123569142568702</v>
      </c>
    </row>
    <row r="9" spans="1:3" ht="15" thickBot="1">
      <c r="A9" s="2">
        <v>46073</v>
      </c>
      <c r="B9" s="1">
        <v>886542333.87268889</v>
      </c>
      <c r="C9" s="4">
        <v>10.56785858540723</v>
      </c>
    </row>
    <row r="10" spans="1:3" ht="15" thickBot="1">
      <c r="A10" s="2">
        <v>46080</v>
      </c>
      <c r="B10" s="1">
        <v>938549580.20021927</v>
      </c>
      <c r="C10" s="4">
        <v>5.8663015109889649</v>
      </c>
    </row>
    <row r="11" spans="1:3" ht="15" thickBot="1">
      <c r="A11" s="2">
        <v>46087</v>
      </c>
      <c r="B11" s="1">
        <v>870061809.65898001</v>
      </c>
      <c r="C11" s="4">
        <v>-7.2971926029340803</v>
      </c>
    </row>
    <row r="12" spans="1:3" ht="15" thickBot="1">
      <c r="A12" s="2">
        <v>46094</v>
      </c>
      <c r="B12" s="1">
        <v>959597484.45129991</v>
      </c>
      <c r="C12" s="4">
        <v>10.290725762048252</v>
      </c>
    </row>
    <row r="13" spans="1:3" ht="15" thickBot="1">
      <c r="A13" s="2">
        <v>46101</v>
      </c>
      <c r="B13" s="1">
        <v>1136404345.7909815</v>
      </c>
      <c r="C13" s="4">
        <v>18.425106797854955</v>
      </c>
    </row>
    <row r="14" spans="1:3" ht="15" thickBot="1">
      <c r="A14" s="2">
        <v>46108</v>
      </c>
      <c r="B14" s="1">
        <v>1111572721.2404912</v>
      </c>
      <c r="C14" s="4">
        <f>+((B14-B13)/B13)*100</f>
        <v>-2.1851046806061447</v>
      </c>
    </row>
    <row r="15" spans="1:3" ht="15" thickBot="1">
      <c r="A15" s="2">
        <v>46129</v>
      </c>
      <c r="B15" s="1">
        <v>1071533894.2527295</v>
      </c>
      <c r="C15" s="4">
        <f>+((B15-B14)/B14)*100</f>
        <v>-3.6019979820194892</v>
      </c>
    </row>
    <row r="16" spans="1:3" ht="15" thickBot="1">
      <c r="A16" s="24">
        <v>46136</v>
      </c>
      <c r="B16" s="16">
        <v>1206629034.17156</v>
      </c>
      <c r="C16" s="4">
        <f>+((B16-B15)/B15)*100</f>
        <v>12.607640378286277</v>
      </c>
    </row>
    <row r="17" spans="1:5" ht="15" thickBot="1">
      <c r="A17" s="24">
        <v>46164</v>
      </c>
      <c r="B17" s="16">
        <v>1440966613.4014599</v>
      </c>
      <c r="C17" s="4">
        <f>+((B17-B16)/B16)*100</f>
        <v>19.42084705352627</v>
      </c>
    </row>
    <row r="18" spans="1:5" ht="15" thickBot="1">
      <c r="A18" s="24">
        <v>46171</v>
      </c>
      <c r="B18" s="16">
        <v>1452167458.20135</v>
      </c>
      <c r="C18" s="4">
        <f t="shared" ref="C18:C33" si="0">+((B18-B17)/B17)*100</f>
        <v>0.77731466473397282</v>
      </c>
    </row>
    <row r="19" spans="1:5" ht="15" thickBot="1">
      <c r="A19" s="24">
        <v>46178</v>
      </c>
      <c r="B19" s="16">
        <v>1583302878.3216901</v>
      </c>
      <c r="C19" s="4">
        <f t="shared" si="0"/>
        <v>9.0303235608077888</v>
      </c>
    </row>
    <row r="20" spans="1:5" ht="15" thickBot="1">
      <c r="A20" s="24">
        <v>46185</v>
      </c>
      <c r="B20" s="16">
        <v>1491369041.2082701</v>
      </c>
      <c r="C20" s="4">
        <f t="shared" si="0"/>
        <v>-5.8064592929225514</v>
      </c>
    </row>
    <row r="21" spans="1:5" ht="15" thickBot="1">
      <c r="A21" s="24">
        <v>46192</v>
      </c>
      <c r="B21" s="16">
        <v>1486232648.3692801</v>
      </c>
      <c r="C21" s="4">
        <f t="shared" si="0"/>
        <v>-0.34440790287751955</v>
      </c>
    </row>
    <row r="22" spans="1:5" ht="15" thickBot="1">
      <c r="A22" s="24">
        <v>46199</v>
      </c>
      <c r="B22" s="16">
        <v>1396607027.6049099</v>
      </c>
      <c r="C22" s="4">
        <f t="shared" si="0"/>
        <v>-6.0303897147400827</v>
      </c>
    </row>
    <row r="23" spans="1:5" ht="15" thickBot="1">
      <c r="A23" s="24">
        <v>46227</v>
      </c>
      <c r="B23" s="16">
        <v>1468051657.5950301</v>
      </c>
      <c r="C23" s="4">
        <f t="shared" si="0"/>
        <v>5.1155857430162772</v>
      </c>
    </row>
    <row r="24" spans="1:5" ht="15" thickBot="1">
      <c r="A24" s="24">
        <v>46255</v>
      </c>
      <c r="B24" s="16">
        <v>1588746455.7100201</v>
      </c>
      <c r="C24" s="4">
        <f t="shared" si="0"/>
        <v>8.2214271882443732</v>
      </c>
    </row>
    <row r="25" spans="1:5" ht="15" thickBot="1">
      <c r="A25" s="24">
        <v>46262</v>
      </c>
      <c r="B25" s="16">
        <v>1616236987.2485399</v>
      </c>
      <c r="C25" s="4">
        <f t="shared" si="0"/>
        <v>1.730328425893116</v>
      </c>
      <c r="E25" s="37"/>
    </row>
    <row r="26" spans="1:5" ht="15" thickBot="1">
      <c r="A26" s="24">
        <v>46269</v>
      </c>
      <c r="B26" s="16">
        <v>1705456884.3822601</v>
      </c>
      <c r="C26" s="4">
        <f t="shared" si="0"/>
        <v>5.5202236947693484</v>
      </c>
      <c r="E26" s="37"/>
    </row>
    <row r="27" spans="1:5" ht="15" thickBot="1">
      <c r="A27" s="24">
        <v>46276</v>
      </c>
      <c r="B27" s="16">
        <v>1626323546.47457</v>
      </c>
      <c r="C27" s="4">
        <f t="shared" si="0"/>
        <v>-4.6400081193699148</v>
      </c>
    </row>
    <row r="28" spans="1:5" ht="15" thickBot="1">
      <c r="A28" s="24">
        <v>46283</v>
      </c>
      <c r="B28" s="16">
        <v>1735040974.8817899</v>
      </c>
      <c r="C28" s="4">
        <f t="shared" si="0"/>
        <v>6.6848585352459482</v>
      </c>
    </row>
    <row r="29" spans="1:5" ht="15" thickBot="1">
      <c r="A29" s="24">
        <v>46290</v>
      </c>
      <c r="B29" s="16">
        <v>1840960656.3900001</v>
      </c>
      <c r="C29" s="4">
        <f t="shared" si="0"/>
        <v>6.1047366051644163</v>
      </c>
    </row>
    <row r="30" spans="1:5" ht="15" thickBot="1">
      <c r="A30" s="24">
        <v>46297</v>
      </c>
      <c r="B30" s="16">
        <v>1989759558.6563499</v>
      </c>
      <c r="C30" s="4">
        <f t="shared" si="0"/>
        <v>8.0826769301053076</v>
      </c>
    </row>
    <row r="31" spans="1:5" ht="15" thickBot="1">
      <c r="A31" s="24">
        <v>46304</v>
      </c>
      <c r="B31" s="16">
        <v>1923670752.90625</v>
      </c>
      <c r="C31" s="4">
        <f t="shared" si="0"/>
        <v>-3.3214468282151901</v>
      </c>
    </row>
    <row r="32" spans="1:5" ht="15" thickBot="1">
      <c r="A32" s="24">
        <v>46311</v>
      </c>
      <c r="B32" s="16">
        <v>1972453207.41008</v>
      </c>
      <c r="C32" s="4">
        <f t="shared" si="0"/>
        <v>2.5359045683950971</v>
      </c>
    </row>
    <row r="33" spans="1:3" ht="15" thickBot="1">
      <c r="A33" s="24">
        <v>46318</v>
      </c>
      <c r="B33" s="16">
        <v>2000559238.2911601</v>
      </c>
      <c r="C33" s="4">
        <f t="shared" si="0"/>
        <v>1.4249276370913071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19" workbookViewId="0">
      <selection activeCell="A31" sqref="A31"/>
    </sheetView>
  </sheetViews>
  <sheetFormatPr baseColWidth="10" defaultRowHeight="14.25"/>
  <cols>
    <col min="1" max="1" width="9.875" bestFit="1" customWidth="1"/>
    <col min="2" max="2" width="17" customWidth="1"/>
    <col min="3" max="3" width="19.75" customWidth="1"/>
    <col min="4" max="4" width="27.25" customWidth="1"/>
    <col min="5" max="5" width="21.375" customWidth="1"/>
    <col min="6" max="6" width="14.625" customWidth="1"/>
    <col min="7" max="7" width="18.875" customWidth="1"/>
    <col min="8" max="8" width="17.625" bestFit="1" customWidth="1"/>
  </cols>
  <sheetData>
    <row r="1" spans="1:8">
      <c r="A1" t="s">
        <v>24</v>
      </c>
      <c r="B1" t="s">
        <v>18</v>
      </c>
      <c r="C1" t="s">
        <v>19</v>
      </c>
      <c r="D1" t="s">
        <v>20</v>
      </c>
      <c r="E1" t="s">
        <v>21</v>
      </c>
      <c r="F1" t="s">
        <v>38</v>
      </c>
      <c r="G1" t="s">
        <v>22</v>
      </c>
      <c r="H1" t="s">
        <v>23</v>
      </c>
    </row>
    <row r="2" spans="1:8">
      <c r="A2" s="2">
        <v>46108</v>
      </c>
      <c r="B2" s="1">
        <v>51894238.144249998</v>
      </c>
      <c r="C2" s="1">
        <v>1352008822.1469994</v>
      </c>
      <c r="D2" s="1">
        <v>114591064.00208002</v>
      </c>
      <c r="E2" s="1">
        <v>1518494124.2933292</v>
      </c>
      <c r="F2" s="1">
        <v>1312229.331</v>
      </c>
      <c r="G2" s="1">
        <v>1519806353.6243293</v>
      </c>
      <c r="H2" s="14">
        <v>0</v>
      </c>
    </row>
    <row r="3" spans="1:8">
      <c r="A3" s="2">
        <v>46115</v>
      </c>
      <c r="B3" s="1">
        <v>53037714.146710016</v>
      </c>
      <c r="C3" s="1">
        <v>1339307607.9621801</v>
      </c>
      <c r="D3" s="1">
        <v>104752190.86271001</v>
      </c>
      <c r="E3" s="1">
        <v>1497097512.9716001</v>
      </c>
      <c r="F3" s="1">
        <v>1329047.3089199997</v>
      </c>
      <c r="G3" s="1">
        <v>1498426560.28052</v>
      </c>
      <c r="H3" s="14">
        <f>+((G3-G2)/G2)*100</f>
        <v>-1.4067445693212368</v>
      </c>
    </row>
    <row r="4" spans="1:8">
      <c r="A4" s="2">
        <v>46122</v>
      </c>
      <c r="B4" s="1">
        <v>51300407.269250013</v>
      </c>
      <c r="C4" s="1">
        <v>1366557520.0739398</v>
      </c>
      <c r="D4" s="1">
        <v>93957855.953770012</v>
      </c>
      <c r="E4" s="1">
        <v>1511815783.2969596</v>
      </c>
      <c r="F4" s="1">
        <v>1230831.7066299999</v>
      </c>
      <c r="G4" s="1">
        <v>1513046615.0035896</v>
      </c>
      <c r="H4" s="14">
        <f>+((G4-G3)/G3)*100</f>
        <v>0.9756937784346702</v>
      </c>
    </row>
    <row r="5" spans="1:8">
      <c r="A5" s="2">
        <v>46129</v>
      </c>
      <c r="B5" s="1">
        <v>52072039.455540009</v>
      </c>
      <c r="C5" s="1">
        <v>1390532008.0185997</v>
      </c>
      <c r="D5" s="1">
        <v>121700977.86743999</v>
      </c>
      <c r="E5" s="1">
        <v>1564305025.3415797</v>
      </c>
      <c r="F5" s="1">
        <v>1318474.4970099996</v>
      </c>
      <c r="G5" s="1">
        <v>1565623499.8385897</v>
      </c>
      <c r="H5" s="14">
        <f>+((G5-G4)/G4)*100</f>
        <v>3.4749018512476764</v>
      </c>
    </row>
    <row r="6" spans="1:8">
      <c r="A6" s="2">
        <v>46136</v>
      </c>
      <c r="B6" s="1">
        <v>55330466.694130011</v>
      </c>
      <c r="C6" s="1">
        <v>1431208791.1130197</v>
      </c>
      <c r="D6" s="1">
        <v>124915732.49143001</v>
      </c>
      <c r="E6" s="1">
        <v>1611454990.2985797</v>
      </c>
      <c r="F6" s="1">
        <v>1367165.0341699999</v>
      </c>
      <c r="G6" s="1">
        <v>1612822155.3327496</v>
      </c>
      <c r="H6" s="14">
        <f>+((G6-G5)/G5)*100</f>
        <v>3.0146874710954426</v>
      </c>
    </row>
    <row r="7" spans="1:8">
      <c r="A7" s="24">
        <v>46143</v>
      </c>
      <c r="B7" s="16">
        <v>56289349.634710021</v>
      </c>
      <c r="C7" s="16">
        <v>1572208957.4513197</v>
      </c>
      <c r="D7" s="16">
        <v>131632832.49728999</v>
      </c>
      <c r="E7" s="16">
        <v>1760131139.5833197</v>
      </c>
      <c r="F7" s="16">
        <v>1480052.1803799996</v>
      </c>
      <c r="G7" s="16">
        <v>1761611191.7636998</v>
      </c>
      <c r="H7" s="26">
        <v>9.2253839605925378</v>
      </c>
    </row>
    <row r="8" spans="1:8">
      <c r="A8" s="24">
        <v>46150</v>
      </c>
      <c r="B8" s="16">
        <v>56976115.061530016</v>
      </c>
      <c r="C8" s="16">
        <v>1583444536.3055906</v>
      </c>
      <c r="D8" s="16">
        <v>120943453.33754002</v>
      </c>
      <c r="E8" s="16">
        <v>1761364104.7046607</v>
      </c>
      <c r="F8" s="16">
        <v>1443633.0552200002</v>
      </c>
      <c r="G8" s="16">
        <v>1762807737.7598805</v>
      </c>
      <c r="H8" s="26">
        <v>6.7923387508850297E-2</v>
      </c>
    </row>
    <row r="9" spans="1:8">
      <c r="A9" s="24">
        <v>46157</v>
      </c>
      <c r="B9" s="16">
        <v>57191389.678870022</v>
      </c>
      <c r="C9" s="16">
        <v>1736713788.0136802</v>
      </c>
      <c r="D9" s="16">
        <v>154232219.13352999</v>
      </c>
      <c r="E9" s="16">
        <v>1948137396.8260801</v>
      </c>
      <c r="F9" s="16">
        <v>1517284.0840200002</v>
      </c>
      <c r="G9" s="16">
        <v>1949654680.9101</v>
      </c>
      <c r="H9" s="26">
        <v>10.599394315551303</v>
      </c>
    </row>
    <row r="10" spans="1:8">
      <c r="A10" s="24">
        <v>46164</v>
      </c>
      <c r="B10" s="16">
        <v>59297253.722750016</v>
      </c>
      <c r="C10" s="16">
        <v>1756395281.4472902</v>
      </c>
      <c r="D10" s="16">
        <v>146574089.18363994</v>
      </c>
      <c r="E10" s="16">
        <v>1962266624.3536801</v>
      </c>
      <c r="F10" s="16">
        <v>1598030.6558000003</v>
      </c>
      <c r="G10" s="16">
        <v>1963864655.0094802</v>
      </c>
      <c r="H10" s="26">
        <v>0.72884568936828487</v>
      </c>
    </row>
    <row r="11" spans="1:8">
      <c r="A11" s="24">
        <v>46202</v>
      </c>
      <c r="B11" s="16">
        <v>61835356.210640013</v>
      </c>
      <c r="C11" s="16">
        <v>1886607672.3299406</v>
      </c>
      <c r="D11" s="16">
        <v>163572012.59929004</v>
      </c>
      <c r="E11" s="16">
        <v>2112015041.1398706</v>
      </c>
      <c r="F11" s="16">
        <v>1706770.0237499999</v>
      </c>
      <c r="G11" s="16">
        <v>2113721811.1636207</v>
      </c>
      <c r="H11" s="26">
        <v>7.6307272892701832</v>
      </c>
    </row>
    <row r="12" spans="1:8">
      <c r="A12" s="24">
        <v>46178</v>
      </c>
      <c r="B12" s="16">
        <v>63931654.937720016</v>
      </c>
      <c r="C12" s="16">
        <v>1957457867.6445699</v>
      </c>
      <c r="D12" s="16">
        <v>149657684.68581003</v>
      </c>
      <c r="E12" s="16">
        <v>2171047207.2680998</v>
      </c>
      <c r="F12" s="16">
        <v>1753411.3252600001</v>
      </c>
      <c r="G12" s="16">
        <v>2172800618.5933599</v>
      </c>
      <c r="H12" s="26">
        <v>2.7950133796091023</v>
      </c>
    </row>
    <row r="13" spans="1:8">
      <c r="A13" s="24">
        <v>46185</v>
      </c>
      <c r="B13" s="16">
        <v>63611606.013210006</v>
      </c>
      <c r="C13" s="16">
        <v>1879421568.1788502</v>
      </c>
      <c r="D13" s="16">
        <v>133033132.39342</v>
      </c>
      <c r="E13" s="16">
        <v>2076066306.5854802</v>
      </c>
      <c r="F13" s="16">
        <v>1714526.8965600003</v>
      </c>
      <c r="G13" s="16">
        <v>2077780833.4820399</v>
      </c>
      <c r="H13" s="26">
        <v>-4.3731479224649092</v>
      </c>
    </row>
    <row r="14" spans="1:8">
      <c r="A14" s="24">
        <v>46192</v>
      </c>
      <c r="B14" s="16">
        <v>65860434.967950001</v>
      </c>
      <c r="C14" s="16">
        <v>1914988346.0565095</v>
      </c>
      <c r="D14" s="16">
        <v>162309932.49878004</v>
      </c>
      <c r="E14" s="16">
        <v>2143158713.5232396</v>
      </c>
      <c r="F14" s="16">
        <v>1705432.2701800002</v>
      </c>
      <c r="G14" s="16">
        <v>2144864145.7934194</v>
      </c>
      <c r="H14" s="26">
        <v>3.2286038657387337</v>
      </c>
    </row>
    <row r="15" spans="1:8">
      <c r="A15" s="24">
        <v>46199</v>
      </c>
      <c r="B15" s="16">
        <v>66643069.210480012</v>
      </c>
      <c r="C15" s="16">
        <v>1865343448.3990905</v>
      </c>
      <c r="D15" s="16">
        <v>172370820.8464765</v>
      </c>
      <c r="E15" s="16">
        <v>2104357338.4560471</v>
      </c>
      <c r="F15" s="16">
        <v>1885890.7660000003</v>
      </c>
      <c r="G15" s="16">
        <v>2106243229.2220471</v>
      </c>
      <c r="H15" s="26">
        <v>-1.8006229740525441</v>
      </c>
    </row>
    <row r="16" spans="1:8">
      <c r="A16" s="24">
        <v>46206</v>
      </c>
      <c r="B16" s="16">
        <v>68376322.198670015</v>
      </c>
      <c r="C16" s="16">
        <v>1874824600.7037601</v>
      </c>
      <c r="D16" s="16">
        <v>187900609.12325659</v>
      </c>
      <c r="E16" s="16">
        <v>2131101532.0256867</v>
      </c>
      <c r="F16" s="16">
        <v>2089309.7912699997</v>
      </c>
      <c r="G16" s="16">
        <v>2133190841.8169568</v>
      </c>
      <c r="H16" s="26">
        <v>1.2794159867691519</v>
      </c>
    </row>
    <row r="17" spans="1:8">
      <c r="A17" s="24">
        <v>46213</v>
      </c>
      <c r="B17" s="16">
        <v>68487199.928740025</v>
      </c>
      <c r="C17" s="16">
        <v>1899748731.1160312</v>
      </c>
      <c r="D17" s="16">
        <v>162301220.45412648</v>
      </c>
      <c r="E17" s="16">
        <v>2130537151.4988976</v>
      </c>
      <c r="F17" s="16">
        <v>2464039.5699600005</v>
      </c>
      <c r="G17" s="16">
        <v>2133001191.0688577</v>
      </c>
      <c r="H17" s="26">
        <v>-8.8904726375744758E-3</v>
      </c>
    </row>
    <row r="18" spans="1:8">
      <c r="A18" s="24">
        <v>46220</v>
      </c>
      <c r="B18" s="16">
        <v>69757899.158520013</v>
      </c>
      <c r="C18" s="16">
        <v>2038826282.5316811</v>
      </c>
      <c r="D18" s="16">
        <v>217968687.7986365</v>
      </c>
      <c r="E18" s="16">
        <v>2326552869.4888377</v>
      </c>
      <c r="F18" s="16">
        <v>2029339.0808599996</v>
      </c>
      <c r="G18" s="16">
        <v>2328582208.5696979</v>
      </c>
      <c r="H18" s="26">
        <v>9.1692877772296697</v>
      </c>
    </row>
    <row r="19" spans="1:8">
      <c r="A19" s="24">
        <v>46227</v>
      </c>
      <c r="B19" s="16">
        <v>71935096.137300014</v>
      </c>
      <c r="C19" s="16">
        <v>2094704967.8231509</v>
      </c>
      <c r="D19" s="16">
        <v>222110560.74773642</v>
      </c>
      <c r="E19" s="16">
        <v>2388750624.7081876</v>
      </c>
      <c r="F19" s="16">
        <v>2133572.8824000005</v>
      </c>
      <c r="G19" s="16">
        <v>2390884197.5905876</v>
      </c>
      <c r="H19" s="26">
        <v>2.6755331545351737</v>
      </c>
    </row>
    <row r="20" spans="1:8">
      <c r="A20" s="24">
        <v>46234</v>
      </c>
      <c r="B20" s="16">
        <v>73562982.041420013</v>
      </c>
      <c r="C20" s="16">
        <v>2158280622.777401</v>
      </c>
      <c r="D20" s="16">
        <v>232842453.77054653</v>
      </c>
      <c r="E20" s="16">
        <v>2464686058.5893674</v>
      </c>
      <c r="F20" s="16">
        <v>2259648.3903599996</v>
      </c>
      <c r="G20" s="16">
        <v>2466945706.9797273</v>
      </c>
      <c r="H20" s="26">
        <v>3.1813129831127327</v>
      </c>
    </row>
    <row r="21" spans="1:8">
      <c r="A21" s="24">
        <v>46241</v>
      </c>
      <c r="B21" s="16">
        <v>74588465.34969002</v>
      </c>
      <c r="C21" s="16">
        <v>2167193538.7617316</v>
      </c>
      <c r="D21" s="16">
        <v>198439181.48875651</v>
      </c>
      <c r="E21" s="16">
        <v>2440221185.6001782</v>
      </c>
      <c r="F21" s="16">
        <v>2971243.6223900001</v>
      </c>
      <c r="G21" s="16">
        <v>2443192429.222568</v>
      </c>
      <c r="H21" s="26">
        <v>-0.96286179667246508</v>
      </c>
    </row>
    <row r="22" spans="1:8">
      <c r="A22" s="24">
        <v>46248</v>
      </c>
      <c r="B22" s="16">
        <v>74239926.334400013</v>
      </c>
      <c r="C22" s="16">
        <v>2163040890.6203313</v>
      </c>
      <c r="D22" s="16">
        <v>208734334.00143653</v>
      </c>
      <c r="E22" s="16">
        <v>2446015150.9561682</v>
      </c>
      <c r="F22" s="16">
        <v>2159689.0630499991</v>
      </c>
      <c r="G22" s="16">
        <v>2448174840.0192175</v>
      </c>
      <c r="H22" s="26">
        <v>0.2039303469123297</v>
      </c>
    </row>
    <row r="23" spans="1:8">
      <c r="A23" s="24">
        <v>46255</v>
      </c>
      <c r="B23" s="16">
        <v>76026162.824400008</v>
      </c>
      <c r="C23" s="16">
        <v>2297157294.4069014</v>
      </c>
      <c r="D23" s="16">
        <v>212317214.11852658</v>
      </c>
      <c r="E23" s="16">
        <v>2585500671.3498278</v>
      </c>
      <c r="F23" s="16">
        <v>2182911.8923299997</v>
      </c>
      <c r="G23" s="16">
        <v>2587683583.2421579</v>
      </c>
      <c r="H23" s="26">
        <v>5.6984795751697845</v>
      </c>
    </row>
    <row r="24" spans="1:8">
      <c r="A24" s="24">
        <v>46262</v>
      </c>
      <c r="B24" s="16">
        <v>78436320.980450019</v>
      </c>
      <c r="C24" s="16">
        <v>2368853653.2673907</v>
      </c>
      <c r="D24" s="16">
        <v>221939034.59143993</v>
      </c>
      <c r="E24" s="16">
        <v>2669229008.8392806</v>
      </c>
      <c r="F24" s="16">
        <v>2363869.91811</v>
      </c>
      <c r="G24" s="16">
        <v>2671592878.7573905</v>
      </c>
      <c r="H24" s="26">
        <v>3.2456431709609603</v>
      </c>
    </row>
    <row r="25" spans="1:8">
      <c r="A25" s="24">
        <v>46269</v>
      </c>
      <c r="B25" s="16">
        <v>79934788.226620004</v>
      </c>
      <c r="C25" s="16">
        <v>2449226669.3992906</v>
      </c>
      <c r="D25" s="16">
        <v>220761212.62711993</v>
      </c>
      <c r="E25" s="16">
        <v>2749922670.2530308</v>
      </c>
      <c r="F25" s="16">
        <v>2498658.4271799996</v>
      </c>
      <c r="G25" s="16">
        <v>2752421328.6802111</v>
      </c>
      <c r="H25" s="26">
        <v>3.0254778175788317</v>
      </c>
    </row>
    <row r="26" spans="1:8">
      <c r="A26" s="24">
        <v>46276</v>
      </c>
      <c r="B26" s="16">
        <v>79385922.735550016</v>
      </c>
      <c r="C26" s="16">
        <v>2467050597.1357689</v>
      </c>
      <c r="D26" s="16">
        <v>198171308.14264002</v>
      </c>
      <c r="E26" s="16">
        <v>2744607828.0139589</v>
      </c>
      <c r="F26" s="16">
        <v>2520693.33421</v>
      </c>
      <c r="G26" s="16">
        <v>2747128521.3481688</v>
      </c>
      <c r="H26" s="26">
        <v>-0.19229640741738052</v>
      </c>
    </row>
    <row r="27" spans="1:8">
      <c r="A27" s="24">
        <v>46283</v>
      </c>
      <c r="B27" s="16">
        <v>79889194.534160003</v>
      </c>
      <c r="C27" s="16">
        <v>2514501098.3346596</v>
      </c>
      <c r="D27" s="16">
        <v>236888778.51269996</v>
      </c>
      <c r="E27" s="16">
        <v>2831279071.3815198</v>
      </c>
      <c r="F27" s="16">
        <v>7866916.1232899986</v>
      </c>
      <c r="G27" s="16">
        <v>2839145987.5048099</v>
      </c>
      <c r="H27" s="26">
        <v>3.3495872305050689</v>
      </c>
    </row>
    <row r="28" spans="1:8">
      <c r="A28" s="24">
        <v>46290</v>
      </c>
      <c r="B28" s="16">
        <v>82724239.333660007</v>
      </c>
      <c r="C28" s="16">
        <v>2636631655.8762808</v>
      </c>
      <c r="D28" s="16">
        <v>232397280.81039</v>
      </c>
      <c r="E28" s="16">
        <v>2951753176.0203309</v>
      </c>
      <c r="F28" s="16">
        <v>18233253.49667</v>
      </c>
      <c r="G28" s="16">
        <v>2969986429.5170007</v>
      </c>
      <c r="H28" s="26">
        <v>4.6084436160741538</v>
      </c>
    </row>
    <row r="29" spans="1:8">
      <c r="A29" s="24">
        <v>46297</v>
      </c>
      <c r="B29" s="16">
        <v>84421385.438590005</v>
      </c>
      <c r="C29" s="16">
        <v>2742425809.1924901</v>
      </c>
      <c r="D29" s="16">
        <v>255682015.32416996</v>
      </c>
      <c r="E29" s="16">
        <v>3082529209.9552503</v>
      </c>
      <c r="F29" s="16">
        <v>31910068.605470002</v>
      </c>
      <c r="G29" s="16">
        <v>3114439278.5607204</v>
      </c>
      <c r="H29" s="26">
        <v>4.8637545144343264</v>
      </c>
    </row>
    <row r="30" spans="1:8">
      <c r="A30" s="24">
        <v>46304</v>
      </c>
      <c r="B30" s="16">
        <v>84394676.288930014</v>
      </c>
      <c r="C30" s="16">
        <v>2750338997.4745512</v>
      </c>
      <c r="D30" s="16">
        <v>222739165.56059</v>
      </c>
      <c r="E30" s="16">
        <v>3057472839.3240709</v>
      </c>
      <c r="F30" s="16">
        <v>41787376.816790007</v>
      </c>
      <c r="G30" s="16">
        <v>3099260216.140861</v>
      </c>
      <c r="H30" s="26">
        <v>-0.48737705449418689</v>
      </c>
    </row>
    <row r="31" spans="1:8">
      <c r="A31" s="24">
        <v>46311</v>
      </c>
      <c r="B31" s="16">
        <v>84594237.019020006</v>
      </c>
      <c r="C31" s="16">
        <v>2857222795.5366302</v>
      </c>
      <c r="D31" s="16">
        <v>261796468.60564005</v>
      </c>
      <c r="E31" s="16">
        <v>3203613501.1612902</v>
      </c>
      <c r="F31" s="16">
        <v>57789336.13893</v>
      </c>
      <c r="G31" s="16">
        <v>3261402837.30022</v>
      </c>
      <c r="H31" s="26">
        <v>5.231655616231401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abSelected="1" topLeftCell="A118" workbookViewId="0">
      <selection activeCell="F134" sqref="F134"/>
    </sheetView>
  </sheetViews>
  <sheetFormatPr baseColWidth="10" defaultColWidth="9" defaultRowHeight="14.25"/>
  <cols>
    <col min="1" max="1" width="13.125" customWidth="1"/>
    <col min="2" max="2" width="10.25" bestFit="1" customWidth="1"/>
    <col min="3" max="3" width="13.25" bestFit="1" customWidth="1"/>
    <col min="4" max="4" width="16" bestFit="1" customWidth="1"/>
    <col min="5" max="5" width="21.875" style="13" customWidth="1"/>
    <col min="9" max="9" width="11.625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s="13" t="s">
        <v>17</v>
      </c>
      <c r="F1" t="s">
        <v>28</v>
      </c>
    </row>
    <row r="2" spans="1:7">
      <c r="A2" s="2">
        <v>46108</v>
      </c>
      <c r="B2">
        <v>13100</v>
      </c>
      <c r="C2">
        <v>3</v>
      </c>
      <c r="D2">
        <v>13103</v>
      </c>
      <c r="E2" s="30"/>
      <c r="F2" s="31">
        <v>-0.03</v>
      </c>
    </row>
    <row r="3" spans="1:7">
      <c r="A3" s="2">
        <v>46113</v>
      </c>
      <c r="B3">
        <v>13738</v>
      </c>
      <c r="C3">
        <v>3</v>
      </c>
      <c r="D3">
        <v>13741</v>
      </c>
      <c r="E3" s="30">
        <f t="shared" ref="E3:E17" si="0">+((D3-D2)/D2)</f>
        <v>4.8691139433717466E-2</v>
      </c>
      <c r="F3" s="31">
        <v>0.05</v>
      </c>
    </row>
    <row r="4" spans="1:7">
      <c r="A4" s="2">
        <v>46122</v>
      </c>
      <c r="B4">
        <v>13586</v>
      </c>
      <c r="C4">
        <v>3</v>
      </c>
      <c r="D4">
        <v>13589</v>
      </c>
      <c r="E4" s="30">
        <f t="shared" si="0"/>
        <v>-1.1061785896222982E-2</v>
      </c>
      <c r="F4" s="31">
        <v>-0.01</v>
      </c>
    </row>
    <row r="5" spans="1:7">
      <c r="A5" s="2">
        <v>46129</v>
      </c>
      <c r="B5">
        <v>13671</v>
      </c>
      <c r="C5">
        <v>3</v>
      </c>
      <c r="D5">
        <v>13674</v>
      </c>
      <c r="E5" s="30">
        <f t="shared" si="0"/>
        <v>6.2550592390904405E-3</v>
      </c>
      <c r="F5" s="31">
        <v>0.01</v>
      </c>
    </row>
    <row r="6" spans="1:7">
      <c r="A6" s="2">
        <v>46136</v>
      </c>
      <c r="B6">
        <v>13481</v>
      </c>
      <c r="C6">
        <v>3</v>
      </c>
      <c r="D6">
        <v>13484</v>
      </c>
      <c r="E6" s="30">
        <f t="shared" si="0"/>
        <v>-1.3894983179757204E-2</v>
      </c>
      <c r="F6" s="31">
        <v>-0.01</v>
      </c>
    </row>
    <row r="7" spans="1:7">
      <c r="A7" s="2">
        <v>46139</v>
      </c>
      <c r="B7">
        <v>13457</v>
      </c>
      <c r="C7">
        <v>3</v>
      </c>
      <c r="D7">
        <v>13460</v>
      </c>
      <c r="E7" s="30">
        <f t="shared" si="0"/>
        <v>-1.7798872738059924E-3</v>
      </c>
      <c r="F7" s="31">
        <v>-0.01</v>
      </c>
    </row>
    <row r="8" spans="1:7">
      <c r="A8" s="2">
        <v>46140</v>
      </c>
      <c r="B8">
        <v>13250</v>
      </c>
      <c r="C8">
        <v>3</v>
      </c>
      <c r="D8">
        <v>13253</v>
      </c>
      <c r="E8" s="30">
        <f t="shared" si="0"/>
        <v>-1.5378900445765229E-2</v>
      </c>
      <c r="F8" s="31">
        <v>-0.01</v>
      </c>
    </row>
    <row r="9" spans="1:7">
      <c r="A9" s="2">
        <v>46141</v>
      </c>
      <c r="B9">
        <v>13184</v>
      </c>
      <c r="C9">
        <v>3</v>
      </c>
      <c r="D9">
        <v>13187</v>
      </c>
      <c r="E9" s="30">
        <f t="shared" si="0"/>
        <v>-4.9800045272768434E-3</v>
      </c>
      <c r="F9" s="31">
        <v>-0.01</v>
      </c>
    </row>
    <row r="10" spans="1:7">
      <c r="A10" s="2">
        <v>46142</v>
      </c>
      <c r="B10">
        <v>13277</v>
      </c>
      <c r="C10">
        <v>3</v>
      </c>
      <c r="D10">
        <v>13280</v>
      </c>
      <c r="E10" s="30">
        <f t="shared" si="0"/>
        <v>7.0524000909987106E-3</v>
      </c>
      <c r="F10" s="31">
        <v>-0.01</v>
      </c>
      <c r="G10" s="7"/>
    </row>
    <row r="11" spans="1:7">
      <c r="A11" s="2">
        <v>46146</v>
      </c>
      <c r="B11">
        <v>14058</v>
      </c>
      <c r="C11">
        <v>3</v>
      </c>
      <c r="D11">
        <v>14061</v>
      </c>
      <c r="E11" s="30">
        <f t="shared" si="0"/>
        <v>5.8810240963855419E-2</v>
      </c>
      <c r="F11" s="31">
        <v>-0.01</v>
      </c>
    </row>
    <row r="12" spans="1:7">
      <c r="A12" s="2">
        <v>46147</v>
      </c>
      <c r="B12" s="11">
        <v>13869</v>
      </c>
      <c r="C12">
        <v>3</v>
      </c>
      <c r="D12" s="11">
        <v>13872</v>
      </c>
      <c r="E12" s="30">
        <f t="shared" si="0"/>
        <v>-1.3441433752933647E-2</v>
      </c>
      <c r="F12" s="31">
        <v>-0.01</v>
      </c>
    </row>
    <row r="13" spans="1:7">
      <c r="A13" s="24">
        <v>46148</v>
      </c>
      <c r="B13" s="25">
        <v>13411</v>
      </c>
      <c r="C13" s="23">
        <v>3</v>
      </c>
      <c r="D13" s="25">
        <v>13414</v>
      </c>
      <c r="E13" s="30">
        <f t="shared" si="0"/>
        <v>-3.3016147635524795E-2</v>
      </c>
      <c r="F13" s="31">
        <v>-0.123456</v>
      </c>
    </row>
    <row r="14" spans="1:7">
      <c r="A14" s="24">
        <v>46149</v>
      </c>
      <c r="B14" s="25">
        <v>13460</v>
      </c>
      <c r="C14" s="23">
        <v>3</v>
      </c>
      <c r="D14" s="25">
        <v>13463</v>
      </c>
      <c r="E14" s="30">
        <f t="shared" si="0"/>
        <v>3.6528999552706129E-3</v>
      </c>
      <c r="F14" s="31">
        <v>0.37123455999999999</v>
      </c>
    </row>
    <row r="15" spans="1:7">
      <c r="A15" s="24">
        <v>46150</v>
      </c>
      <c r="B15" s="25">
        <v>13398</v>
      </c>
      <c r="C15" s="23">
        <v>3</v>
      </c>
      <c r="D15" s="25">
        <v>13401</v>
      </c>
      <c r="E15" s="30">
        <f t="shared" si="0"/>
        <v>-4.6052142910198322E-3</v>
      </c>
      <c r="F15" s="31">
        <v>-0.46123456000000002</v>
      </c>
    </row>
    <row r="16" spans="1:7">
      <c r="A16" s="24">
        <v>46153</v>
      </c>
      <c r="B16" s="25">
        <v>13309</v>
      </c>
      <c r="C16">
        <v>3</v>
      </c>
      <c r="D16" s="25">
        <v>13312</v>
      </c>
      <c r="E16" s="30">
        <f t="shared" si="0"/>
        <v>-6.6412954257144986E-3</v>
      </c>
      <c r="F16" s="31">
        <v>-0.66123456000000003</v>
      </c>
    </row>
    <row r="17" spans="1:6">
      <c r="A17" s="24">
        <v>46154</v>
      </c>
      <c r="B17" s="25">
        <v>13300</v>
      </c>
      <c r="C17" s="23">
        <v>3</v>
      </c>
      <c r="D17" s="25">
        <v>13303</v>
      </c>
      <c r="E17" s="30">
        <f t="shared" si="0"/>
        <v>-6.7608173076923075E-4</v>
      </c>
      <c r="F17" s="31">
        <v>-7.1234560000000002E-2</v>
      </c>
    </row>
    <row r="18" spans="1:6">
      <c r="A18" s="24">
        <v>46155</v>
      </c>
      <c r="B18" s="25">
        <v>13277</v>
      </c>
      <c r="C18" s="23">
        <v>3</v>
      </c>
      <c r="D18" s="25">
        <v>13280</v>
      </c>
      <c r="E18" s="30">
        <f>+((D18-D17)/D17)</f>
        <v>-1.7289333233105315E-3</v>
      </c>
      <c r="F18" s="31">
        <v>-0.17123456000000001</v>
      </c>
    </row>
    <row r="19" spans="1:6">
      <c r="A19" s="24">
        <v>46156</v>
      </c>
      <c r="B19" s="25">
        <v>13282</v>
      </c>
      <c r="C19" s="23">
        <v>3</v>
      </c>
      <c r="D19" s="25">
        <f t="shared" ref="D19" si="1">SUM(B19+C19)</f>
        <v>13285</v>
      </c>
      <c r="E19" s="30">
        <f>+((D19-D18)/D18)</f>
        <v>3.7650602409638556E-4</v>
      </c>
      <c r="F19" s="31">
        <v>4.1234560000000003E-2</v>
      </c>
    </row>
    <row r="20" spans="1:6">
      <c r="A20" s="24">
        <v>46157</v>
      </c>
      <c r="B20" s="25">
        <v>13015</v>
      </c>
      <c r="C20" s="23">
        <v>3</v>
      </c>
      <c r="D20" s="25">
        <v>13018</v>
      </c>
      <c r="E20" s="30">
        <f>+((D20-D19)/D19)</f>
        <v>-2.0097854723372225E-2</v>
      </c>
      <c r="F20" s="31">
        <v>-2.0112345600000001</v>
      </c>
    </row>
    <row r="21" spans="1:6">
      <c r="A21" s="24">
        <v>46161</v>
      </c>
      <c r="B21" s="25">
        <v>12992</v>
      </c>
      <c r="C21" s="23">
        <v>3</v>
      </c>
      <c r="D21" s="25">
        <v>12995</v>
      </c>
      <c r="E21" s="30">
        <f>+((D21-D20)/D20)</f>
        <v>-1.7667844522968198E-3</v>
      </c>
      <c r="F21" s="31">
        <v>-0.18123455999999999</v>
      </c>
    </row>
    <row r="22" spans="1:6">
      <c r="A22" s="24">
        <v>46162</v>
      </c>
      <c r="B22" s="25">
        <v>12888</v>
      </c>
      <c r="C22" s="23">
        <v>3</v>
      </c>
      <c r="D22" s="25">
        <v>12891</v>
      </c>
      <c r="E22" s="30">
        <f>+((D22-D21)/D21)</f>
        <v>-8.0030781069642173E-3</v>
      </c>
      <c r="F22" s="31">
        <v>-0.80123456000000004</v>
      </c>
    </row>
    <row r="23" spans="1:6">
      <c r="A23" s="24">
        <v>46163</v>
      </c>
      <c r="B23" s="25">
        <v>14686</v>
      </c>
      <c r="C23" s="23">
        <v>3</v>
      </c>
      <c r="D23" s="25">
        <v>14689</v>
      </c>
      <c r="E23" s="30">
        <f t="shared" ref="E23:E24" si="2">+((D23-D22)/D22)</f>
        <v>0.13947715460398727</v>
      </c>
      <c r="F23" s="31">
        <v>13.95123456</v>
      </c>
    </row>
    <row r="24" spans="1:6">
      <c r="A24" s="24">
        <v>46164</v>
      </c>
      <c r="B24" s="25">
        <v>14649</v>
      </c>
      <c r="C24" s="23">
        <v>3</v>
      </c>
      <c r="D24" s="25">
        <v>14652</v>
      </c>
      <c r="E24" s="30">
        <f t="shared" si="2"/>
        <v>-2.5188916876574307E-3</v>
      </c>
      <c r="F24" s="31">
        <v>-0.25123456</v>
      </c>
    </row>
    <row r="25" spans="1:6">
      <c r="A25" s="24">
        <v>46167</v>
      </c>
      <c r="B25" s="25">
        <v>12949</v>
      </c>
      <c r="C25" s="23">
        <v>3</v>
      </c>
      <c r="D25" s="25">
        <v>12952</v>
      </c>
      <c r="E25" s="30">
        <f t="shared" ref="E25:E75" si="3">+((D25-D24)/D24)</f>
        <v>-0.11602511602511603</v>
      </c>
      <c r="F25" s="31">
        <v>-11.60123456</v>
      </c>
    </row>
    <row r="26" spans="1:6">
      <c r="A26" s="24">
        <v>46168</v>
      </c>
      <c r="B26" s="25">
        <v>12961</v>
      </c>
      <c r="C26" s="23">
        <v>3</v>
      </c>
      <c r="D26" s="25">
        <v>12964</v>
      </c>
      <c r="E26" s="30">
        <f t="shared" si="3"/>
        <v>9.2649783817171094E-4</v>
      </c>
      <c r="F26" s="31">
        <v>9.1234560000000006E-2</v>
      </c>
    </row>
    <row r="27" spans="1:6">
      <c r="A27" s="24">
        <v>46169</v>
      </c>
      <c r="B27" s="25">
        <v>12914</v>
      </c>
      <c r="C27" s="23">
        <v>3</v>
      </c>
      <c r="D27" s="25">
        <v>12917</v>
      </c>
      <c r="E27" s="30">
        <f t="shared" si="3"/>
        <v>-3.625424251774144E-3</v>
      </c>
      <c r="F27" s="31">
        <v>-0.36</v>
      </c>
    </row>
    <row r="28" spans="1:6">
      <c r="A28" s="24">
        <v>46170</v>
      </c>
      <c r="B28" s="25">
        <v>12758</v>
      </c>
      <c r="C28" s="23">
        <v>3</v>
      </c>
      <c r="D28" s="25">
        <v>12761</v>
      </c>
      <c r="E28" s="30">
        <f t="shared" si="3"/>
        <v>-1.2077107687543547E-2</v>
      </c>
      <c r="F28" s="31">
        <v>-1.21</v>
      </c>
    </row>
    <row r="29" spans="1:6">
      <c r="A29" s="24">
        <v>46171</v>
      </c>
      <c r="B29" s="25">
        <v>12968</v>
      </c>
      <c r="C29" s="23">
        <v>3</v>
      </c>
      <c r="D29" s="25">
        <v>12971</v>
      </c>
      <c r="E29" s="30">
        <f t="shared" si="3"/>
        <v>1.6456390565002744E-2</v>
      </c>
      <c r="F29" s="31">
        <v>1.65</v>
      </c>
    </row>
    <row r="30" spans="1:6">
      <c r="A30" s="24">
        <v>46174</v>
      </c>
      <c r="B30" s="25">
        <v>12916</v>
      </c>
      <c r="C30" s="23">
        <v>3</v>
      </c>
      <c r="D30" s="25">
        <v>12919</v>
      </c>
      <c r="E30" s="30">
        <f t="shared" si="3"/>
        <v>-4.0089430267519852E-3</v>
      </c>
      <c r="F30" s="31">
        <v>-0.4</v>
      </c>
    </row>
    <row r="31" spans="1:6">
      <c r="A31" s="24">
        <v>46175</v>
      </c>
      <c r="B31" s="25">
        <v>12982</v>
      </c>
      <c r="C31" s="23">
        <v>3</v>
      </c>
      <c r="D31" s="25">
        <v>12985</v>
      </c>
      <c r="E31" s="30">
        <f t="shared" si="3"/>
        <v>5.1087545475656014E-3</v>
      </c>
      <c r="F31" s="31">
        <v>0.51</v>
      </c>
    </row>
    <row r="32" spans="1:6">
      <c r="A32" s="24">
        <v>46176</v>
      </c>
      <c r="B32" s="25">
        <v>12852</v>
      </c>
      <c r="C32" s="23">
        <v>3</v>
      </c>
      <c r="D32" s="25">
        <v>12855</v>
      </c>
      <c r="E32" s="30">
        <f t="shared" si="3"/>
        <v>-1.0011551790527531E-2</v>
      </c>
      <c r="F32" s="31">
        <v>-1</v>
      </c>
    </row>
    <row r="33" spans="1:6">
      <c r="A33" s="24">
        <v>46177</v>
      </c>
      <c r="B33" s="25">
        <v>12861</v>
      </c>
      <c r="C33" s="23">
        <v>3</v>
      </c>
      <c r="D33" s="25">
        <v>12864</v>
      </c>
      <c r="E33" s="30">
        <f t="shared" si="3"/>
        <v>7.0011668611435238E-4</v>
      </c>
      <c r="F33" s="31">
        <v>7.0000000000000007E-2</v>
      </c>
    </row>
    <row r="34" spans="1:6">
      <c r="A34" s="24">
        <v>46178</v>
      </c>
      <c r="B34" s="25">
        <v>12861</v>
      </c>
      <c r="C34" s="23">
        <v>3</v>
      </c>
      <c r="D34" s="25">
        <v>12864</v>
      </c>
      <c r="E34" s="30">
        <f t="shared" si="3"/>
        <v>0</v>
      </c>
      <c r="F34" s="31">
        <v>0</v>
      </c>
    </row>
    <row r="35" spans="1:6">
      <c r="A35" s="24">
        <v>46182</v>
      </c>
      <c r="B35" s="25">
        <v>12645</v>
      </c>
      <c r="C35" s="23">
        <v>3</v>
      </c>
      <c r="D35" s="25">
        <v>12648</v>
      </c>
      <c r="E35" s="30">
        <f t="shared" si="3"/>
        <v>-1.6791044776119403E-2</v>
      </c>
      <c r="F35" s="31">
        <v>-1.68</v>
      </c>
    </row>
    <row r="36" spans="1:6">
      <c r="A36" s="24">
        <v>46183</v>
      </c>
      <c r="B36" s="25">
        <v>12401</v>
      </c>
      <c r="C36" s="23">
        <v>3</v>
      </c>
      <c r="D36" s="25">
        <v>12404</v>
      </c>
      <c r="E36" s="30">
        <f t="shared" si="3"/>
        <v>-1.9291587602783048E-2</v>
      </c>
      <c r="F36" s="31">
        <v>-1.93</v>
      </c>
    </row>
    <row r="37" spans="1:6">
      <c r="A37" s="24">
        <v>46184</v>
      </c>
      <c r="B37" s="25">
        <v>12260</v>
      </c>
      <c r="C37" s="23">
        <v>3</v>
      </c>
      <c r="D37" s="25">
        <v>12263</v>
      </c>
      <c r="E37" s="30">
        <f t="shared" si="3"/>
        <v>-1.1367300870686875E-2</v>
      </c>
      <c r="F37" s="31">
        <v>-1.1399999999999999</v>
      </c>
    </row>
    <row r="38" spans="1:6">
      <c r="A38" s="24">
        <v>46185</v>
      </c>
      <c r="B38" s="25">
        <v>13444</v>
      </c>
      <c r="C38" s="23">
        <v>3</v>
      </c>
      <c r="D38" s="25">
        <v>13447</v>
      </c>
      <c r="E38" s="30">
        <f t="shared" si="3"/>
        <v>9.6550599363940309E-2</v>
      </c>
      <c r="F38" s="31">
        <v>9.66</v>
      </c>
    </row>
    <row r="39" spans="1:6">
      <c r="A39" s="24">
        <v>46188</v>
      </c>
      <c r="B39" s="25">
        <v>13557</v>
      </c>
      <c r="C39" s="23">
        <v>3</v>
      </c>
      <c r="D39" s="25">
        <v>13560</v>
      </c>
      <c r="E39" s="30">
        <f t="shared" si="3"/>
        <v>8.4033613445378148E-3</v>
      </c>
      <c r="F39" s="31">
        <v>0.84</v>
      </c>
    </row>
    <row r="40" spans="1:6">
      <c r="A40" s="24">
        <v>46189</v>
      </c>
      <c r="B40" s="25">
        <v>13566</v>
      </c>
      <c r="C40" s="23">
        <v>3</v>
      </c>
      <c r="D40" s="25">
        <v>13569</v>
      </c>
      <c r="E40" s="30">
        <f t="shared" si="3"/>
        <v>6.6371681415929203E-4</v>
      </c>
      <c r="F40" s="31">
        <v>7.0000000000000007E-2</v>
      </c>
    </row>
    <row r="41" spans="1:6">
      <c r="A41" s="24">
        <v>46190</v>
      </c>
      <c r="B41" s="25">
        <v>13567</v>
      </c>
      <c r="C41" s="23">
        <v>3</v>
      </c>
      <c r="D41" s="25">
        <v>13570</v>
      </c>
      <c r="E41" s="30">
        <f t="shared" si="3"/>
        <v>7.3697398481833586E-5</v>
      </c>
      <c r="F41" s="31">
        <v>0.01</v>
      </c>
    </row>
    <row r="42" spans="1:6">
      <c r="A42" s="24">
        <v>46191</v>
      </c>
      <c r="B42" s="25">
        <v>13443</v>
      </c>
      <c r="C42" s="23">
        <v>3</v>
      </c>
      <c r="D42" s="25">
        <v>13446</v>
      </c>
      <c r="E42" s="30">
        <f t="shared" si="3"/>
        <v>-9.1378039793662495E-3</v>
      </c>
      <c r="F42" s="31">
        <v>-0.91</v>
      </c>
    </row>
    <row r="43" spans="1:6">
      <c r="A43" s="24">
        <v>46192</v>
      </c>
      <c r="B43" s="25">
        <v>12812</v>
      </c>
      <c r="C43" s="23">
        <v>3</v>
      </c>
      <c r="D43" s="25">
        <v>12815</v>
      </c>
      <c r="E43" s="30">
        <f t="shared" si="3"/>
        <v>-4.6928454558976644E-2</v>
      </c>
      <c r="F43" s="31">
        <v>-4.6900000000000004</v>
      </c>
    </row>
    <row r="44" spans="1:6">
      <c r="A44" s="24">
        <v>46195</v>
      </c>
      <c r="B44" s="25">
        <v>14632</v>
      </c>
      <c r="C44" s="23">
        <v>3</v>
      </c>
      <c r="D44" s="25">
        <v>14635</v>
      </c>
      <c r="E44" s="30">
        <f t="shared" si="3"/>
        <v>0.14202106905969566</v>
      </c>
      <c r="F44" s="31">
        <v>14.2</v>
      </c>
    </row>
    <row r="45" spans="1:6">
      <c r="A45" s="24">
        <v>46196</v>
      </c>
      <c r="B45" s="25">
        <v>14497</v>
      </c>
      <c r="C45" s="23">
        <v>3</v>
      </c>
      <c r="D45" s="25">
        <v>14500</v>
      </c>
      <c r="E45" s="30">
        <f t="shared" si="3"/>
        <v>-9.2244619063887937E-3</v>
      </c>
      <c r="F45" s="31">
        <v>-0.92</v>
      </c>
    </row>
    <row r="46" spans="1:6">
      <c r="A46" s="24">
        <v>46198</v>
      </c>
      <c r="B46" s="25">
        <v>14307</v>
      </c>
      <c r="C46" s="23">
        <v>3</v>
      </c>
      <c r="D46" s="25">
        <v>14310</v>
      </c>
      <c r="E46" s="30">
        <f t="shared" si="3"/>
        <v>-1.3103448275862069E-2</v>
      </c>
      <c r="F46" s="31">
        <v>-1.31</v>
      </c>
    </row>
    <row r="47" spans="1:6">
      <c r="A47" s="24">
        <v>46199</v>
      </c>
      <c r="B47" s="25">
        <v>13995</v>
      </c>
      <c r="C47" s="23">
        <v>3</v>
      </c>
      <c r="D47" s="25">
        <v>13998</v>
      </c>
      <c r="E47" s="30">
        <f t="shared" si="3"/>
        <v>-2.180293501048218E-2</v>
      </c>
      <c r="F47" s="31">
        <v>-2.1800000000000002</v>
      </c>
    </row>
    <row r="48" spans="1:6">
      <c r="A48" s="24">
        <v>46203</v>
      </c>
      <c r="B48" s="25">
        <v>13908</v>
      </c>
      <c r="C48" s="23">
        <v>3</v>
      </c>
      <c r="D48" s="25">
        <v>13911</v>
      </c>
      <c r="E48" s="30">
        <f t="shared" si="3"/>
        <v>-6.2151735962280323E-3</v>
      </c>
      <c r="F48" s="31">
        <v>-0.62</v>
      </c>
    </row>
    <row r="49" spans="1:6">
      <c r="A49" s="24">
        <v>46204</v>
      </c>
      <c r="B49" s="25">
        <v>13749</v>
      </c>
      <c r="C49" s="23">
        <v>3</v>
      </c>
      <c r="D49" s="25">
        <v>13752</v>
      </c>
      <c r="E49" s="30">
        <f t="shared" si="3"/>
        <v>-1.1429803752426138E-2</v>
      </c>
      <c r="F49" s="31">
        <v>-1.1399999999999999</v>
      </c>
    </row>
    <row r="50" spans="1:6">
      <c r="A50" s="24">
        <v>46205</v>
      </c>
      <c r="B50" s="25">
        <v>13869</v>
      </c>
      <c r="C50" s="23">
        <v>3</v>
      </c>
      <c r="D50" s="25">
        <v>13872</v>
      </c>
      <c r="E50" s="30">
        <f t="shared" si="3"/>
        <v>8.7260034904013961E-3</v>
      </c>
      <c r="F50" s="31">
        <v>0.87</v>
      </c>
    </row>
    <row r="51" spans="1:6">
      <c r="A51" s="24">
        <v>46206</v>
      </c>
      <c r="B51" s="25">
        <v>13495</v>
      </c>
      <c r="C51" s="23">
        <v>3</v>
      </c>
      <c r="D51" s="25">
        <v>13498</v>
      </c>
      <c r="E51" s="30">
        <f t="shared" si="3"/>
        <v>-2.6960784313725492E-2</v>
      </c>
      <c r="F51" s="31">
        <v>-2.7</v>
      </c>
    </row>
    <row r="52" spans="1:6">
      <c r="A52" s="24">
        <v>46209</v>
      </c>
      <c r="B52" s="25">
        <v>13393</v>
      </c>
      <c r="C52" s="23">
        <v>3</v>
      </c>
      <c r="D52" s="25">
        <v>13396</v>
      </c>
      <c r="E52" s="30">
        <f t="shared" si="3"/>
        <v>-7.556675062972292E-3</v>
      </c>
      <c r="F52" s="31">
        <v>-0.76</v>
      </c>
    </row>
    <row r="53" spans="1:6">
      <c r="A53" s="24">
        <v>46210</v>
      </c>
      <c r="B53" s="25">
        <v>13475</v>
      </c>
      <c r="C53" s="23">
        <v>3</v>
      </c>
      <c r="D53" s="25">
        <v>13478</v>
      </c>
      <c r="E53" s="30">
        <f t="shared" si="3"/>
        <v>6.1212302179755153E-3</v>
      </c>
      <c r="F53" s="31">
        <v>0.61</v>
      </c>
    </row>
    <row r="54" spans="1:6">
      <c r="A54" s="24">
        <v>46211</v>
      </c>
      <c r="B54" s="25">
        <v>13365</v>
      </c>
      <c r="C54" s="23">
        <v>3</v>
      </c>
      <c r="D54" s="25">
        <v>13368</v>
      </c>
      <c r="E54" s="30">
        <f t="shared" si="3"/>
        <v>-8.1614482860958605E-3</v>
      </c>
      <c r="F54" s="31">
        <v>-0.82</v>
      </c>
    </row>
    <row r="55" spans="1:6">
      <c r="A55" s="24">
        <v>46212</v>
      </c>
      <c r="B55" s="25">
        <v>13447</v>
      </c>
      <c r="C55" s="23">
        <v>3</v>
      </c>
      <c r="D55" s="25">
        <v>13450</v>
      </c>
      <c r="E55" s="30">
        <f t="shared" si="3"/>
        <v>6.1340514661879118E-3</v>
      </c>
      <c r="F55" s="31">
        <v>0.61</v>
      </c>
    </row>
    <row r="56" spans="1:6">
      <c r="A56" s="24">
        <v>46213</v>
      </c>
      <c r="B56" s="25">
        <v>13286</v>
      </c>
      <c r="C56" s="23">
        <v>3</v>
      </c>
      <c r="D56" s="25">
        <v>13289</v>
      </c>
      <c r="E56" s="30">
        <f t="shared" si="3"/>
        <v>-1.1970260223048328E-2</v>
      </c>
      <c r="F56" s="31">
        <v>-1.2</v>
      </c>
    </row>
    <row r="57" spans="1:6">
      <c r="A57" s="24">
        <v>46216</v>
      </c>
      <c r="B57" s="25">
        <v>13313</v>
      </c>
      <c r="C57" s="23">
        <v>3</v>
      </c>
      <c r="D57" s="25">
        <v>13316</v>
      </c>
      <c r="E57" s="30">
        <f t="shared" si="3"/>
        <v>2.0317555873278653E-3</v>
      </c>
      <c r="F57" s="31">
        <v>0.2</v>
      </c>
    </row>
    <row r="58" spans="1:6">
      <c r="A58" s="24">
        <v>46217</v>
      </c>
      <c r="B58" s="25">
        <v>13191</v>
      </c>
      <c r="C58" s="23">
        <v>3</v>
      </c>
      <c r="D58" s="25">
        <v>13194</v>
      </c>
      <c r="E58" s="30">
        <f t="shared" si="3"/>
        <v>-9.1619104836287175E-3</v>
      </c>
      <c r="F58" s="31">
        <v>-0.92</v>
      </c>
    </row>
    <row r="59" spans="1:6">
      <c r="A59" s="24">
        <v>46218</v>
      </c>
      <c r="B59" s="25">
        <v>13192</v>
      </c>
      <c r="C59" s="23">
        <v>3</v>
      </c>
      <c r="D59" s="25">
        <v>13195</v>
      </c>
      <c r="E59" s="30">
        <f t="shared" si="3"/>
        <v>7.5792026678793393E-5</v>
      </c>
      <c r="F59" s="31">
        <v>0.01</v>
      </c>
    </row>
    <row r="60" spans="1:6">
      <c r="A60" s="24">
        <v>46219</v>
      </c>
      <c r="B60" s="25">
        <v>13206</v>
      </c>
      <c r="C60" s="23">
        <v>3</v>
      </c>
      <c r="D60" s="25">
        <v>13209</v>
      </c>
      <c r="E60" s="30">
        <f t="shared" si="3"/>
        <v>1.0610079575596816E-3</v>
      </c>
      <c r="F60" s="31">
        <v>0.11</v>
      </c>
    </row>
    <row r="61" spans="1:6">
      <c r="A61" s="24">
        <v>46220</v>
      </c>
      <c r="B61" s="25">
        <v>13769</v>
      </c>
      <c r="C61" s="23">
        <v>3</v>
      </c>
      <c r="D61" s="25">
        <v>13772</v>
      </c>
      <c r="E61" s="30">
        <f t="shared" si="3"/>
        <v>4.2622454387160266E-2</v>
      </c>
      <c r="F61" s="31">
        <v>4.26</v>
      </c>
    </row>
    <row r="62" spans="1:6">
      <c r="A62" s="24">
        <v>46223</v>
      </c>
      <c r="B62" s="25">
        <v>13591</v>
      </c>
      <c r="C62" s="23">
        <v>3</v>
      </c>
      <c r="D62" s="25">
        <v>13594</v>
      </c>
      <c r="E62" s="30">
        <f t="shared" si="3"/>
        <v>-1.2924774905605577E-2</v>
      </c>
      <c r="F62" s="31">
        <v>-1.26</v>
      </c>
    </row>
    <row r="63" spans="1:6">
      <c r="A63" s="24">
        <v>46224</v>
      </c>
      <c r="B63" s="25">
        <v>13510</v>
      </c>
      <c r="C63" s="23">
        <v>3</v>
      </c>
      <c r="D63" s="25">
        <v>13513</v>
      </c>
      <c r="E63" s="30">
        <f t="shared" si="3"/>
        <v>-5.9585111078416944E-3</v>
      </c>
      <c r="F63" s="31">
        <v>-0.6</v>
      </c>
    </row>
    <row r="64" spans="1:6">
      <c r="A64" s="24">
        <v>46225</v>
      </c>
      <c r="B64" s="25">
        <v>13589</v>
      </c>
      <c r="C64" s="23">
        <v>3</v>
      </c>
      <c r="D64" s="25">
        <v>13592</v>
      </c>
      <c r="E64" s="30">
        <f t="shared" si="3"/>
        <v>5.8462221564419452E-3</v>
      </c>
      <c r="F64" s="31">
        <v>0.57999999999999996</v>
      </c>
    </row>
    <row r="65" spans="1:6">
      <c r="A65" s="24">
        <v>46226</v>
      </c>
      <c r="B65" s="25">
        <v>13361</v>
      </c>
      <c r="C65" s="23">
        <v>3</v>
      </c>
      <c r="D65" s="25">
        <v>13364</v>
      </c>
      <c r="E65" s="30">
        <f t="shared" si="3"/>
        <v>-1.6774573278399058E-2</v>
      </c>
      <c r="F65" s="31">
        <v>-1.58</v>
      </c>
    </row>
    <row r="66" spans="1:6">
      <c r="A66" s="24">
        <v>46230</v>
      </c>
      <c r="B66" s="25">
        <v>13208</v>
      </c>
      <c r="C66" s="23">
        <v>3</v>
      </c>
      <c r="D66" s="25">
        <v>13211</v>
      </c>
      <c r="E66" s="30">
        <f t="shared" si="3"/>
        <v>-1.1448668063454055E-2</v>
      </c>
      <c r="F66" s="31">
        <v>-1.1399999999999999</v>
      </c>
    </row>
    <row r="67" spans="1:6">
      <c r="A67" s="24">
        <v>46231</v>
      </c>
      <c r="B67" s="25">
        <v>13105</v>
      </c>
      <c r="C67" s="23">
        <v>3</v>
      </c>
      <c r="D67" s="25">
        <v>13108</v>
      </c>
      <c r="E67" s="30">
        <f t="shared" si="3"/>
        <v>-7.7965331920369389E-3</v>
      </c>
      <c r="F67" s="31">
        <v>-0.78</v>
      </c>
    </row>
    <row r="68" spans="1:6">
      <c r="A68" s="24">
        <v>46232</v>
      </c>
      <c r="B68" s="25">
        <v>12971</v>
      </c>
      <c r="C68" s="23">
        <v>3</v>
      </c>
      <c r="D68" s="25">
        <v>12974</v>
      </c>
      <c r="E68" s="30">
        <f t="shared" si="3"/>
        <v>-1.0222764723832774E-2</v>
      </c>
      <c r="F68" s="31">
        <v>-1.02</v>
      </c>
    </row>
    <row r="69" spans="1:6">
      <c r="A69" s="24">
        <v>46233</v>
      </c>
      <c r="B69" s="25">
        <v>13004</v>
      </c>
      <c r="C69" s="23">
        <v>3</v>
      </c>
      <c r="D69" s="25">
        <v>13007</v>
      </c>
      <c r="E69" s="30">
        <f t="shared" si="3"/>
        <v>2.5435486357330045E-3</v>
      </c>
      <c r="F69" s="31">
        <v>0.25</v>
      </c>
    </row>
    <row r="70" spans="1:6">
      <c r="A70" s="24">
        <v>46234</v>
      </c>
      <c r="B70" s="25">
        <v>12822</v>
      </c>
      <c r="C70" s="23">
        <v>3</v>
      </c>
      <c r="D70" s="25">
        <v>12825</v>
      </c>
      <c r="E70" s="30">
        <f t="shared" si="3"/>
        <v>-1.3992465595448604E-2</v>
      </c>
      <c r="F70" s="31">
        <v>-1.4</v>
      </c>
    </row>
    <row r="71" spans="1:6">
      <c r="A71" s="24">
        <v>46237</v>
      </c>
      <c r="B71" s="25">
        <v>13167</v>
      </c>
      <c r="C71" s="23">
        <v>3</v>
      </c>
      <c r="D71" s="25">
        <v>13170</v>
      </c>
      <c r="E71" s="30">
        <f t="shared" si="3"/>
        <v>2.6900584795321637E-2</v>
      </c>
      <c r="F71" s="31">
        <v>2.69</v>
      </c>
    </row>
    <row r="72" spans="1:6">
      <c r="A72" s="24">
        <v>46238</v>
      </c>
      <c r="B72" s="25">
        <v>13114</v>
      </c>
      <c r="C72" s="23">
        <v>3</v>
      </c>
      <c r="D72" s="25">
        <v>13117</v>
      </c>
      <c r="E72" s="30">
        <f t="shared" si="3"/>
        <v>-4.0242976461655278E-3</v>
      </c>
      <c r="F72" s="31">
        <v>-4.4000000000000004</v>
      </c>
    </row>
    <row r="73" spans="1:6">
      <c r="A73" s="24">
        <v>46239</v>
      </c>
      <c r="B73" s="25">
        <v>13146</v>
      </c>
      <c r="C73" s="23">
        <v>3</v>
      </c>
      <c r="D73" s="25">
        <v>13149</v>
      </c>
      <c r="E73" s="30">
        <f t="shared" si="3"/>
        <v>2.4395822215445605E-3</v>
      </c>
      <c r="F73" s="31">
        <v>0.24</v>
      </c>
    </row>
    <row r="74" spans="1:6">
      <c r="A74" s="24">
        <v>46240</v>
      </c>
      <c r="B74" s="25">
        <v>13234</v>
      </c>
      <c r="C74" s="23">
        <v>3</v>
      </c>
      <c r="D74" s="25">
        <v>13237</v>
      </c>
      <c r="E74" s="30">
        <f t="shared" si="3"/>
        <v>6.6925241463229139E-3</v>
      </c>
      <c r="F74" s="31">
        <v>0.67</v>
      </c>
    </row>
    <row r="75" spans="1:6">
      <c r="A75" s="24">
        <v>46241</v>
      </c>
      <c r="B75" s="25">
        <v>13266</v>
      </c>
      <c r="C75" s="23">
        <v>3</v>
      </c>
      <c r="D75" s="25">
        <v>13269</v>
      </c>
      <c r="E75" s="30">
        <f t="shared" si="3"/>
        <v>2.4174661932462038E-3</v>
      </c>
      <c r="F75" s="31">
        <v>0.24</v>
      </c>
    </row>
    <row r="76" spans="1:6">
      <c r="A76" s="24">
        <v>46244</v>
      </c>
      <c r="B76" s="25">
        <v>13237</v>
      </c>
      <c r="C76" s="23">
        <v>3</v>
      </c>
      <c r="D76" s="25">
        <v>13240</v>
      </c>
      <c r="E76" s="30">
        <f t="shared" ref="E76:E131" si="4">+((D76-D75)/D75)</f>
        <v>-2.185545255859522E-3</v>
      </c>
      <c r="F76" s="31">
        <v>0.22</v>
      </c>
    </row>
    <row r="77" spans="1:6">
      <c r="A77" s="24">
        <v>46245</v>
      </c>
      <c r="B77" s="25">
        <v>13220</v>
      </c>
      <c r="C77" s="23">
        <v>3</v>
      </c>
      <c r="D77" s="25">
        <v>13223</v>
      </c>
      <c r="E77" s="30">
        <f t="shared" si="4"/>
        <v>-1.2839879154078551E-3</v>
      </c>
      <c r="F77" s="31">
        <v>-0.13</v>
      </c>
    </row>
    <row r="78" spans="1:6">
      <c r="A78" s="24">
        <v>46246</v>
      </c>
      <c r="B78" s="25">
        <v>13231</v>
      </c>
      <c r="C78" s="23">
        <v>3</v>
      </c>
      <c r="D78" s="25">
        <v>13234</v>
      </c>
      <c r="E78" s="30">
        <f t="shared" si="4"/>
        <v>8.3188383876578692E-4</v>
      </c>
      <c r="F78" s="31">
        <v>0.08</v>
      </c>
    </row>
    <row r="79" spans="1:6">
      <c r="A79" s="24">
        <v>46247</v>
      </c>
      <c r="B79" s="25">
        <v>13147</v>
      </c>
      <c r="C79" s="23">
        <v>3</v>
      </c>
      <c r="D79" s="25">
        <v>13150</v>
      </c>
      <c r="E79" s="30">
        <f t="shared" si="4"/>
        <v>-6.3472872903128303E-3</v>
      </c>
      <c r="F79" s="31">
        <v>-0.63</v>
      </c>
    </row>
    <row r="80" spans="1:6">
      <c r="A80" s="24">
        <v>46248</v>
      </c>
      <c r="B80" s="25">
        <v>13019</v>
      </c>
      <c r="C80" s="23">
        <v>3</v>
      </c>
      <c r="D80" s="25">
        <v>13022</v>
      </c>
      <c r="E80" s="30">
        <f t="shared" si="4"/>
        <v>-9.7338403041825096E-3</v>
      </c>
      <c r="F80" s="31">
        <v>-97</v>
      </c>
    </row>
    <row r="81" spans="1:6">
      <c r="A81" s="24">
        <v>46251</v>
      </c>
      <c r="B81" s="25">
        <v>13022</v>
      </c>
      <c r="C81" s="23">
        <v>3</v>
      </c>
      <c r="D81" s="25">
        <v>13025</v>
      </c>
      <c r="E81" s="30">
        <f t="shared" si="4"/>
        <v>2.3037935800952235E-4</v>
      </c>
      <c r="F81" s="31">
        <v>0.02</v>
      </c>
    </row>
    <row r="82" spans="1:6">
      <c r="A82" s="24">
        <v>46252</v>
      </c>
      <c r="B82" s="25">
        <v>13431</v>
      </c>
      <c r="C82" s="23">
        <v>3</v>
      </c>
      <c r="D82" s="25">
        <v>13434</v>
      </c>
      <c r="E82" s="30">
        <f t="shared" si="4"/>
        <v>3.1401151631477928E-2</v>
      </c>
      <c r="F82" s="31">
        <v>3.14</v>
      </c>
    </row>
    <row r="83" spans="1:6">
      <c r="A83" s="24">
        <v>46253</v>
      </c>
      <c r="B83" s="25">
        <v>13323</v>
      </c>
      <c r="C83" s="23">
        <v>3</v>
      </c>
      <c r="D83" s="25">
        <v>13326</v>
      </c>
      <c r="E83" s="30">
        <f t="shared" si="4"/>
        <v>-8.0393032603841008E-3</v>
      </c>
      <c r="F83" s="31">
        <v>-0.8</v>
      </c>
    </row>
    <row r="84" spans="1:6">
      <c r="A84" s="24">
        <v>46254</v>
      </c>
      <c r="B84" s="25">
        <v>13436</v>
      </c>
      <c r="C84" s="23">
        <v>3</v>
      </c>
      <c r="D84" s="25">
        <v>13439</v>
      </c>
      <c r="E84" s="30">
        <f t="shared" si="4"/>
        <v>8.4796638150983032E-3</v>
      </c>
      <c r="F84" s="31">
        <v>85</v>
      </c>
    </row>
    <row r="85" spans="1:6">
      <c r="A85" s="24">
        <v>46255</v>
      </c>
      <c r="B85" s="25">
        <v>13379</v>
      </c>
      <c r="C85" s="23">
        <v>3</v>
      </c>
      <c r="D85" s="25">
        <v>13382</v>
      </c>
      <c r="E85" s="30">
        <f t="shared" si="4"/>
        <v>-4.2413870079619021E-3</v>
      </c>
      <c r="F85" s="31">
        <v>-0.42</v>
      </c>
    </row>
    <row r="86" spans="1:6">
      <c r="A86" s="24">
        <v>46258</v>
      </c>
      <c r="B86" s="25">
        <v>13352</v>
      </c>
      <c r="C86" s="23">
        <v>3</v>
      </c>
      <c r="D86" s="25">
        <v>13355</v>
      </c>
      <c r="E86" s="30">
        <f t="shared" si="4"/>
        <v>-2.01763562995068E-3</v>
      </c>
      <c r="F86" s="31">
        <v>-0.20300000000000001</v>
      </c>
    </row>
    <row r="87" spans="1:6">
      <c r="A87" s="24">
        <v>46259</v>
      </c>
      <c r="B87" s="25">
        <v>13205</v>
      </c>
      <c r="C87" s="23">
        <v>3</v>
      </c>
      <c r="D87" s="25">
        <v>13208</v>
      </c>
      <c r="E87" s="30">
        <f t="shared" si="4"/>
        <v>-1.1007113440658928E-2</v>
      </c>
      <c r="F87" s="31">
        <v>-1.1000000000000001</v>
      </c>
    </row>
    <row r="88" spans="1:6">
      <c r="A88" s="24">
        <v>46260</v>
      </c>
      <c r="B88" s="25">
        <v>13147</v>
      </c>
      <c r="C88" s="23">
        <v>3</v>
      </c>
      <c r="D88" s="25">
        <v>13150</v>
      </c>
      <c r="E88" s="30">
        <f t="shared" si="4"/>
        <v>-4.3912780133252578E-3</v>
      </c>
      <c r="F88" s="31">
        <v>-4.4400000000000004</v>
      </c>
    </row>
    <row r="89" spans="1:6">
      <c r="A89" s="24">
        <v>46261</v>
      </c>
      <c r="B89" s="25">
        <v>13053</v>
      </c>
      <c r="C89" s="23">
        <v>3</v>
      </c>
      <c r="D89" s="25">
        <v>13056</v>
      </c>
      <c r="E89" s="30">
        <f t="shared" si="4"/>
        <v>-7.1482889733840305E-3</v>
      </c>
      <c r="F89" s="31">
        <v>-0.71</v>
      </c>
    </row>
    <row r="90" spans="1:6">
      <c r="A90" s="24">
        <v>46262</v>
      </c>
      <c r="B90" s="25">
        <v>13360</v>
      </c>
      <c r="C90" s="23">
        <v>3</v>
      </c>
      <c r="D90" s="25">
        <v>13363</v>
      </c>
      <c r="E90" s="30">
        <f t="shared" si="4"/>
        <v>2.3514093137254902E-2</v>
      </c>
      <c r="F90" s="31">
        <v>2.35</v>
      </c>
    </row>
    <row r="91" spans="1:6">
      <c r="A91" s="24">
        <v>46265</v>
      </c>
      <c r="B91" s="25">
        <v>13285</v>
      </c>
      <c r="C91" s="23">
        <v>3</v>
      </c>
      <c r="D91" s="25">
        <v>13288</v>
      </c>
      <c r="E91" s="30">
        <f t="shared" si="4"/>
        <v>-5.612512160443014E-3</v>
      </c>
      <c r="F91" s="31">
        <v>-0.56000000000000005</v>
      </c>
    </row>
    <row r="92" spans="1:6">
      <c r="A92" s="24">
        <v>46266</v>
      </c>
      <c r="B92" s="25">
        <v>12895</v>
      </c>
      <c r="C92" s="23">
        <v>3</v>
      </c>
      <c r="D92" s="25">
        <v>12898</v>
      </c>
      <c r="E92" s="30">
        <f t="shared" si="4"/>
        <v>-2.9349789283564118E-2</v>
      </c>
      <c r="F92" s="31">
        <v>-2.93</v>
      </c>
    </row>
    <row r="93" spans="1:6">
      <c r="A93" s="24">
        <v>46267</v>
      </c>
      <c r="B93" s="25">
        <v>12709</v>
      </c>
      <c r="C93" s="23">
        <v>3</v>
      </c>
      <c r="D93" s="25">
        <v>12712</v>
      </c>
      <c r="E93" s="30">
        <f t="shared" si="4"/>
        <v>-1.4420840440378353E-2</v>
      </c>
      <c r="F93" s="31">
        <v>-1.44</v>
      </c>
    </row>
    <row r="94" spans="1:6">
      <c r="A94" s="24">
        <v>46268</v>
      </c>
      <c r="B94" s="25">
        <v>12864</v>
      </c>
      <c r="C94" s="23">
        <v>3</v>
      </c>
      <c r="D94" s="25">
        <v>12867</v>
      </c>
      <c r="E94" s="30">
        <f t="shared" si="4"/>
        <v>1.2193203272498426E-2</v>
      </c>
      <c r="F94" s="31">
        <v>1.22</v>
      </c>
    </row>
    <row r="95" spans="1:6">
      <c r="A95" s="24">
        <v>46269</v>
      </c>
      <c r="B95" s="25">
        <v>12801</v>
      </c>
      <c r="C95" s="23">
        <v>3</v>
      </c>
      <c r="D95" s="25">
        <v>12804</v>
      </c>
      <c r="E95" s="30">
        <f t="shared" si="4"/>
        <v>-4.8962462112380504E-3</v>
      </c>
      <c r="F95" s="31">
        <v>-0.49</v>
      </c>
    </row>
    <row r="96" spans="1:6">
      <c r="A96" s="24">
        <v>46272</v>
      </c>
      <c r="B96" s="25">
        <v>12979</v>
      </c>
      <c r="C96" s="23">
        <v>3</v>
      </c>
      <c r="D96" s="25">
        <v>12982</v>
      </c>
      <c r="E96" s="30">
        <f t="shared" si="4"/>
        <v>1.3901905654482974E-2</v>
      </c>
      <c r="F96" s="31">
        <v>1.39</v>
      </c>
    </row>
    <row r="97" spans="1:6">
      <c r="A97" s="24">
        <v>46273</v>
      </c>
      <c r="B97" s="25">
        <v>12912</v>
      </c>
      <c r="C97" s="23">
        <v>3</v>
      </c>
      <c r="D97" s="25">
        <v>12915</v>
      </c>
      <c r="E97" s="30">
        <f t="shared" si="4"/>
        <v>-5.1609921429671855E-3</v>
      </c>
      <c r="F97" s="31">
        <v>-0.52</v>
      </c>
    </row>
    <row r="98" spans="1:6">
      <c r="A98" s="24">
        <v>46274</v>
      </c>
      <c r="B98" s="25">
        <v>12898</v>
      </c>
      <c r="C98" s="23">
        <v>3</v>
      </c>
      <c r="D98" s="25">
        <v>12901</v>
      </c>
      <c r="E98" s="30">
        <f t="shared" si="4"/>
        <v>-1.0840108401084011E-3</v>
      </c>
      <c r="F98" s="31">
        <v>-0.11</v>
      </c>
    </row>
    <row r="99" spans="1:6">
      <c r="A99" s="24">
        <v>46275</v>
      </c>
      <c r="B99" s="25">
        <v>12855</v>
      </c>
      <c r="C99" s="23">
        <v>3</v>
      </c>
      <c r="D99" s="25">
        <v>12858</v>
      </c>
      <c r="E99" s="30">
        <f t="shared" si="4"/>
        <v>-3.3330749554298118E-3</v>
      </c>
      <c r="F99" s="31">
        <v>-0.33</v>
      </c>
    </row>
    <row r="100" spans="1:6">
      <c r="A100" s="24">
        <v>46276</v>
      </c>
      <c r="B100" s="25">
        <v>13098</v>
      </c>
      <c r="C100" s="23">
        <v>3</v>
      </c>
      <c r="D100" s="25">
        <v>13101</v>
      </c>
      <c r="E100" s="30">
        <f t="shared" si="4"/>
        <v>1.8898740083994399E-2</v>
      </c>
      <c r="F100" s="31">
        <v>1.89</v>
      </c>
    </row>
    <row r="101" spans="1:6">
      <c r="A101" s="24">
        <v>46280</v>
      </c>
      <c r="B101" s="25">
        <v>12938</v>
      </c>
      <c r="C101" s="23">
        <v>3</v>
      </c>
      <c r="D101" s="25">
        <v>12941</v>
      </c>
      <c r="E101" s="30">
        <f t="shared" si="4"/>
        <v>-1.2212808182581482E-2</v>
      </c>
      <c r="F101" s="31">
        <v>-1.22</v>
      </c>
    </row>
    <row r="102" spans="1:6">
      <c r="A102" s="24">
        <v>46281</v>
      </c>
      <c r="B102" s="25">
        <v>12985</v>
      </c>
      <c r="C102" s="23">
        <v>3</v>
      </c>
      <c r="D102" s="25">
        <v>12988</v>
      </c>
      <c r="E102" s="30">
        <f t="shared" si="4"/>
        <v>3.6318677072869174E-3</v>
      </c>
      <c r="F102" s="31">
        <v>0.36</v>
      </c>
    </row>
    <row r="103" spans="1:6">
      <c r="A103" s="24">
        <v>46282</v>
      </c>
      <c r="B103" s="25">
        <v>12914</v>
      </c>
      <c r="C103" s="23">
        <v>3</v>
      </c>
      <c r="D103" s="25">
        <v>12917</v>
      </c>
      <c r="E103" s="30">
        <f t="shared" si="4"/>
        <v>-5.4665845395749924E-3</v>
      </c>
      <c r="F103" s="31">
        <v>-0.55000000000000004</v>
      </c>
    </row>
    <row r="104" spans="1:6">
      <c r="A104" s="24">
        <v>46283</v>
      </c>
      <c r="B104" s="25">
        <v>13335</v>
      </c>
      <c r="C104" s="23">
        <v>3</v>
      </c>
      <c r="D104" s="25">
        <v>13338</v>
      </c>
      <c r="E104" s="30">
        <f t="shared" si="4"/>
        <v>3.2592707284973294E-2</v>
      </c>
      <c r="F104" s="31">
        <v>3.26</v>
      </c>
    </row>
    <row r="105" spans="1:6">
      <c r="A105" s="24">
        <v>46286</v>
      </c>
      <c r="B105" s="25">
        <v>13272</v>
      </c>
      <c r="C105" s="23">
        <v>3</v>
      </c>
      <c r="D105" s="25">
        <v>13275</v>
      </c>
      <c r="E105" s="30">
        <f t="shared" si="4"/>
        <v>-4.7233468286099868E-3</v>
      </c>
      <c r="F105" s="31">
        <v>-0.47</v>
      </c>
    </row>
    <row r="106" spans="1:6">
      <c r="A106" s="24">
        <v>46287</v>
      </c>
      <c r="B106" s="25">
        <v>13034</v>
      </c>
      <c r="C106" s="23">
        <v>3</v>
      </c>
      <c r="D106" s="25">
        <v>13037</v>
      </c>
      <c r="E106" s="30">
        <f t="shared" si="4"/>
        <v>-1.7928436911487759E-2</v>
      </c>
      <c r="F106" s="31">
        <v>-1.79</v>
      </c>
    </row>
    <row r="107" spans="1:6">
      <c r="A107" s="24">
        <v>46288</v>
      </c>
      <c r="B107" s="25">
        <v>12909</v>
      </c>
      <c r="C107" s="23">
        <v>3</v>
      </c>
      <c r="D107" s="25">
        <v>12912</v>
      </c>
      <c r="E107" s="30">
        <f t="shared" si="4"/>
        <v>-9.5880954207256276E-3</v>
      </c>
      <c r="F107" s="31">
        <v>-9.5880954207256276E-3</v>
      </c>
    </row>
    <row r="108" spans="1:6">
      <c r="A108" s="24">
        <v>46289</v>
      </c>
      <c r="B108" s="25">
        <v>12762</v>
      </c>
      <c r="C108" s="23">
        <v>3</v>
      </c>
      <c r="D108" s="25">
        <f t="shared" ref="D108" si="5">SUM(B108+C108)</f>
        <v>12765</v>
      </c>
      <c r="E108" s="30">
        <f t="shared" si="4"/>
        <v>-1.1384758364312268E-2</v>
      </c>
      <c r="F108" s="31">
        <v>-1.1384758364312268E-2</v>
      </c>
    </row>
    <row r="109" spans="1:6">
      <c r="A109" s="24">
        <v>46290</v>
      </c>
      <c r="B109" s="25">
        <v>12724</v>
      </c>
      <c r="C109" s="23">
        <v>3</v>
      </c>
      <c r="D109" s="25">
        <f t="shared" ref="D109" si="6">SUM(B109+C109)</f>
        <v>12727</v>
      </c>
      <c r="E109" s="30">
        <f t="shared" si="4"/>
        <v>-2.9768899334116725E-3</v>
      </c>
      <c r="F109" s="31">
        <v>-0.3</v>
      </c>
    </row>
    <row r="110" spans="1:6">
      <c r="A110" s="24">
        <v>46293</v>
      </c>
      <c r="B110" s="25">
        <v>12720</v>
      </c>
      <c r="C110" s="23">
        <v>3</v>
      </c>
      <c r="D110" s="25">
        <v>12723</v>
      </c>
      <c r="E110" s="30">
        <f t="shared" si="4"/>
        <v>-3.1429244912390981E-4</v>
      </c>
      <c r="F110" s="31">
        <v>-0.3</v>
      </c>
    </row>
    <row r="111" spans="1:6">
      <c r="A111" s="24">
        <v>46294</v>
      </c>
      <c r="B111" s="25">
        <v>12666</v>
      </c>
      <c r="C111" s="23">
        <v>3</v>
      </c>
      <c r="D111" s="25">
        <v>12669</v>
      </c>
      <c r="E111" s="30">
        <f t="shared" si="4"/>
        <v>-4.2442820089601506E-3</v>
      </c>
      <c r="F111" s="31">
        <v>-0.42</v>
      </c>
    </row>
    <row r="112" spans="1:6">
      <c r="A112" s="24">
        <v>46295</v>
      </c>
      <c r="B112" s="25">
        <v>12798</v>
      </c>
      <c r="C112" s="23">
        <v>3</v>
      </c>
      <c r="D112" s="25">
        <v>12801</v>
      </c>
      <c r="E112" s="30">
        <f t="shared" si="4"/>
        <v>1.0419133317546767E-2</v>
      </c>
      <c r="F112" s="31">
        <v>1.04</v>
      </c>
    </row>
    <row r="113" spans="1:8">
      <c r="A113" s="24">
        <v>46296</v>
      </c>
      <c r="B113" s="25">
        <v>12719</v>
      </c>
      <c r="C113" s="23">
        <v>3</v>
      </c>
      <c r="D113" s="25">
        <v>12722</v>
      </c>
      <c r="E113" s="30">
        <f t="shared" si="4"/>
        <v>-6.171392859932818E-3</v>
      </c>
      <c r="F113" s="31">
        <v>-0.62</v>
      </c>
    </row>
    <row r="114" spans="1:8">
      <c r="A114" s="24">
        <v>46297</v>
      </c>
      <c r="B114" s="25">
        <v>12671</v>
      </c>
      <c r="C114" s="23">
        <v>3</v>
      </c>
      <c r="D114" s="25">
        <v>12674</v>
      </c>
      <c r="E114" s="30">
        <f t="shared" si="4"/>
        <v>-3.7729916679767332E-3</v>
      </c>
      <c r="F114" s="31">
        <v>-0.38</v>
      </c>
    </row>
    <row r="115" spans="1:8">
      <c r="A115" s="24">
        <v>46300</v>
      </c>
      <c r="B115" s="25">
        <v>12892</v>
      </c>
      <c r="C115" s="23">
        <v>3</v>
      </c>
      <c r="D115" s="25">
        <v>12895</v>
      </c>
      <c r="E115" s="30">
        <f t="shared" si="4"/>
        <v>1.7437273157645573E-2</v>
      </c>
      <c r="F115" s="31">
        <v>1.74</v>
      </c>
    </row>
    <row r="116" spans="1:8">
      <c r="A116" s="24">
        <v>46301</v>
      </c>
      <c r="B116" s="25">
        <v>12844</v>
      </c>
      <c r="C116" s="23">
        <v>3</v>
      </c>
      <c r="D116" s="25">
        <v>12847</v>
      </c>
      <c r="E116" s="30">
        <f t="shared" si="4"/>
        <v>-3.7223730127956571E-3</v>
      </c>
      <c r="F116" s="31">
        <v>-0.37</v>
      </c>
    </row>
    <row r="117" spans="1:8">
      <c r="A117" s="24">
        <v>46302</v>
      </c>
      <c r="B117" s="25">
        <v>12756</v>
      </c>
      <c r="C117" s="23">
        <v>3</v>
      </c>
      <c r="D117" s="25">
        <v>12759</v>
      </c>
      <c r="E117" s="30">
        <f t="shared" si="4"/>
        <v>-6.8498482135907219E-3</v>
      </c>
      <c r="F117" s="31">
        <v>-0.68</v>
      </c>
    </row>
    <row r="118" spans="1:8">
      <c r="A118" s="24">
        <v>46303</v>
      </c>
      <c r="B118" s="25">
        <v>12703</v>
      </c>
      <c r="C118" s="23">
        <v>3</v>
      </c>
      <c r="D118" s="25">
        <v>12706</v>
      </c>
      <c r="E118" s="30">
        <f t="shared" si="4"/>
        <v>-4.1539305588212247E-3</v>
      </c>
      <c r="F118" s="31">
        <v>-0.42</v>
      </c>
    </row>
    <row r="119" spans="1:8">
      <c r="A119" s="24">
        <v>46304</v>
      </c>
      <c r="B119" s="25">
        <v>12684</v>
      </c>
      <c r="C119" s="23">
        <v>3</v>
      </c>
      <c r="D119" s="25">
        <v>12687</v>
      </c>
      <c r="E119" s="30">
        <f t="shared" si="4"/>
        <v>-1.4953565244766253E-3</v>
      </c>
      <c r="F119" s="31">
        <v>-0.15</v>
      </c>
    </row>
    <row r="120" spans="1:8">
      <c r="A120" s="24">
        <v>46308</v>
      </c>
      <c r="B120" s="25">
        <v>13084</v>
      </c>
      <c r="C120" s="23">
        <v>3</v>
      </c>
      <c r="D120" s="25">
        <v>13087</v>
      </c>
      <c r="E120" s="30">
        <f t="shared" si="4"/>
        <v>3.1528336092062743E-2</v>
      </c>
      <c r="F120" s="31">
        <v>3.15</v>
      </c>
    </row>
    <row r="121" spans="1:8">
      <c r="A121" s="24">
        <v>46309</v>
      </c>
      <c r="B121" s="25">
        <v>12998</v>
      </c>
      <c r="C121" s="23">
        <v>3</v>
      </c>
      <c r="D121" s="25">
        <v>13001</v>
      </c>
      <c r="E121" s="30">
        <f t="shared" si="4"/>
        <v>-6.571406739512493E-3</v>
      </c>
      <c r="F121" s="31">
        <v>-0.66</v>
      </c>
    </row>
    <row r="122" spans="1:8">
      <c r="A122" s="24">
        <v>46310</v>
      </c>
      <c r="B122" s="25">
        <v>12991</v>
      </c>
      <c r="C122" s="23">
        <v>3</v>
      </c>
      <c r="D122" s="25">
        <v>12994</v>
      </c>
      <c r="E122" s="30">
        <f t="shared" si="4"/>
        <v>-5.3842012152911312E-4</v>
      </c>
      <c r="F122" s="31">
        <v>-0.05</v>
      </c>
    </row>
    <row r="123" spans="1:8">
      <c r="A123" s="24">
        <v>46311</v>
      </c>
      <c r="B123" s="25">
        <v>13375</v>
      </c>
      <c r="C123" s="23">
        <v>3</v>
      </c>
      <c r="D123" s="25">
        <v>13378</v>
      </c>
      <c r="E123" s="30">
        <f t="shared" si="4"/>
        <v>2.9552100969678315E-2</v>
      </c>
      <c r="F123" s="31">
        <v>2.96</v>
      </c>
    </row>
    <row r="124" spans="1:8">
      <c r="A124" s="24">
        <v>46314</v>
      </c>
      <c r="B124" s="25">
        <v>13280</v>
      </c>
      <c r="C124" s="23">
        <v>3</v>
      </c>
      <c r="D124" s="25">
        <v>13283</v>
      </c>
      <c r="E124" s="30">
        <f t="shared" si="4"/>
        <v>-7.1012109433398118E-3</v>
      </c>
      <c r="F124" s="31">
        <v>-0.71</v>
      </c>
    </row>
    <row r="125" spans="1:8">
      <c r="A125" s="24">
        <v>46315</v>
      </c>
      <c r="B125" s="25">
        <v>13080</v>
      </c>
      <c r="C125" s="23">
        <v>3</v>
      </c>
      <c r="D125" s="25">
        <v>13083</v>
      </c>
      <c r="E125" s="30">
        <f t="shared" si="4"/>
        <v>-1.5056839569374389E-2</v>
      </c>
      <c r="F125" s="16">
        <v>-1.51</v>
      </c>
      <c r="G125" s="19"/>
      <c r="H125" s="16"/>
    </row>
    <row r="126" spans="1:8">
      <c r="A126" s="24">
        <v>46316</v>
      </c>
      <c r="B126" s="25">
        <v>13088</v>
      </c>
      <c r="C126" s="23">
        <v>3</v>
      </c>
      <c r="D126" s="25">
        <v>13091</v>
      </c>
      <c r="E126" s="30">
        <f t="shared" si="4"/>
        <v>6.114805472750898E-4</v>
      </c>
      <c r="F126" s="31">
        <v>0.06</v>
      </c>
    </row>
    <row r="127" spans="1:8">
      <c r="A127" s="24">
        <v>46317</v>
      </c>
      <c r="B127" s="25">
        <v>12910</v>
      </c>
      <c r="C127" s="23">
        <v>3</v>
      </c>
      <c r="D127" s="25">
        <v>12913</v>
      </c>
      <c r="E127" s="30">
        <f t="shared" si="4"/>
        <v>-1.3597127797723627E-2</v>
      </c>
      <c r="F127" s="31">
        <v>-1.36</v>
      </c>
    </row>
    <row r="128" spans="1:8">
      <c r="A128" s="24">
        <v>46318</v>
      </c>
      <c r="B128" s="25">
        <v>12745</v>
      </c>
      <c r="C128" s="23">
        <v>3</v>
      </c>
      <c r="D128" s="25">
        <v>12748</v>
      </c>
      <c r="E128" s="30">
        <f t="shared" si="4"/>
        <v>-1.2777820800743437E-2</v>
      </c>
      <c r="F128" s="31">
        <v>-1.28</v>
      </c>
    </row>
    <row r="129" spans="1:6">
      <c r="A129" s="24">
        <v>46322</v>
      </c>
      <c r="B129" s="25">
        <v>12995</v>
      </c>
      <c r="C129" s="23">
        <v>3</v>
      </c>
      <c r="D129" s="25">
        <v>12998</v>
      </c>
      <c r="E129" s="30">
        <f t="shared" si="4"/>
        <v>1.9610919359899594E-2</v>
      </c>
      <c r="F129" s="31">
        <v>1.96</v>
      </c>
    </row>
    <row r="130" spans="1:6">
      <c r="A130" s="24">
        <v>46323</v>
      </c>
      <c r="B130" s="25">
        <v>12985</v>
      </c>
      <c r="C130" s="23">
        <v>3</v>
      </c>
      <c r="D130" s="25">
        <v>12988</v>
      </c>
      <c r="E130" s="30">
        <f t="shared" si="4"/>
        <v>-7.6934913063548237E-4</v>
      </c>
      <c r="F130" s="31">
        <v>-0.08</v>
      </c>
    </row>
    <row r="131" spans="1:6">
      <c r="A131" s="24">
        <v>46324</v>
      </c>
      <c r="B131" s="25">
        <v>12859</v>
      </c>
      <c r="C131" s="23">
        <v>3</v>
      </c>
      <c r="D131" s="25">
        <v>12862</v>
      </c>
      <c r="E131" s="30">
        <f t="shared" si="4"/>
        <v>-9.7012627040344926E-3</v>
      </c>
      <c r="F131" s="31">
        <v>-0.97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Tasa Overnight Diaria</vt:lpstr>
      <vt:lpstr>Reservas Bancarias Excedentari</vt:lpstr>
      <vt:lpstr>Tasa Overnight Mensual</vt:lpstr>
      <vt:lpstr>Base Monetaria</vt:lpstr>
      <vt:lpstr>Liquidez Monetaria</vt:lpstr>
      <vt:lpstr>Resev. Internacionales $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15875</dc:creator>
  <cp:lastModifiedBy>solisbella castellano</cp:lastModifiedBy>
  <cp:lastPrinted>2026-07-28T12:49:54Z</cp:lastPrinted>
  <dcterms:created xsi:type="dcterms:W3CDTF">2026-04-29T23:27:57Z</dcterms:created>
  <dcterms:modified xsi:type="dcterms:W3CDTF">2026-10-30T19:10:54Z</dcterms:modified>
</cp:coreProperties>
</file>