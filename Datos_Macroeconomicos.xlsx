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1480" yWindow="-120" windowWidth="20730" windowHeight="1176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7" i="6" l="1"/>
  <c r="E16" i="6" l="1"/>
  <c r="E15" i="6" l="1"/>
  <c r="E14" i="6" l="1"/>
  <c r="C16" i="4"/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<sst xmlns="http://schemas.openxmlformats.org/spreadsheetml/2006/main" count="39" uniqueCount="31">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</sst>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  <xf numFmtId="4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topLeftCell="A20" workbookViewId="0">
      <selection activeCell="A37" sqref="A37"/>
    </sheetView>
  </sheetViews>
  <sheetFormatPr baseColWidth="10" defaultColWidth="9" defaultRowHeight="14.25"/>
  <cols>
    <col min="1" max="1" width="26.625" style="12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>
      <c r="A33" s="23">
        <v>46149</v>
      </c>
      <c r="B33" s="19">
        <v>32505.648000000001</v>
      </c>
      <c r="C33" s="22"/>
      <c r="D33" s="19">
        <v>150</v>
      </c>
      <c r="E33" s="22"/>
      <c r="F33" s="19">
        <v>300</v>
      </c>
      <c r="G33" s="22"/>
      <c r="H33" s="19">
        <v>243.9</v>
      </c>
    </row>
    <row r="34" spans="1:8">
      <c r="A34" s="23">
        <v>46150</v>
      </c>
      <c r="B34" s="19">
        <v>8103.3360000000002</v>
      </c>
      <c r="C34" s="22"/>
      <c r="D34" s="19">
        <v>100</v>
      </c>
      <c r="E34" s="22"/>
      <c r="F34" s="19">
        <v>100</v>
      </c>
      <c r="G34" s="22"/>
      <c r="H34" s="19">
        <v>100</v>
      </c>
    </row>
    <row r="35" spans="1:8">
      <c r="A35" s="23">
        <v>46153</v>
      </c>
      <c r="B35" s="19">
        <v>30219.955319000001</v>
      </c>
      <c r="C35" s="22"/>
      <c r="D35" s="19">
        <v>100</v>
      </c>
      <c r="E35" s="22"/>
      <c r="F35" s="19">
        <v>110.06</v>
      </c>
      <c r="G35" s="22"/>
      <c r="H35" s="19">
        <v>109.71</v>
      </c>
    </row>
    <row r="36" spans="1:8">
      <c r="A36" s="23">
        <v>46154</v>
      </c>
      <c r="B36" s="19">
        <v>0</v>
      </c>
      <c r="C36" s="22"/>
      <c r="D36" s="19">
        <v>0</v>
      </c>
      <c r="E36" s="22"/>
      <c r="F36" s="19">
        <v>0</v>
      </c>
      <c r="G36" s="22"/>
      <c r="H36" s="19">
        <v>0</v>
      </c>
    </row>
    <row r="37" spans="1:8">
      <c r="A37" s="23">
        <v>46155</v>
      </c>
      <c r="B37" s="19">
        <v>200</v>
      </c>
      <c r="C37" s="22"/>
      <c r="D37" s="19">
        <v>100</v>
      </c>
      <c r="E37" s="22"/>
      <c r="F37" s="19">
        <v>100</v>
      </c>
      <c r="G37" s="22"/>
      <c r="H37" s="19">
        <v>100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4" customWidth="1"/>
    <col min="4" max="4" width="17.375" customWidth="1"/>
    <col min="5" max="5" width="24.625" bestFit="1" customWidth="1"/>
  </cols>
  <sheetData>
    <row r="1" spans="1:5">
      <c r="A1" t="s">
        <v>0</v>
      </c>
      <c r="B1" t="s">
        <v>5</v>
      </c>
      <c r="C1" s="14" t="s">
        <v>17</v>
      </c>
      <c r="D1" t="s">
        <v>6</v>
      </c>
      <c r="E1" t="s">
        <v>7</v>
      </c>
    </row>
    <row r="2" spans="1:5">
      <c r="A2" s="27">
        <v>46155</v>
      </c>
      <c r="B2" s="26">
        <v>24.614867159999999</v>
      </c>
      <c r="C2" s="17">
        <f>+((B6-B7)/B7)*100</f>
        <v>-82.294618034282905</v>
      </c>
      <c r="D2" t="s">
        <v>8</v>
      </c>
      <c r="E2" s="6">
        <v>42155.425069182624</v>
      </c>
    </row>
    <row r="3" spans="1:5">
      <c r="A3" s="27">
        <v>46154</v>
      </c>
      <c r="B3" s="26">
        <v>673.01725538999995</v>
      </c>
      <c r="C3" s="17">
        <f>+((B7-B8)/B8)*100</f>
        <v>-99.115816107458954</v>
      </c>
      <c r="D3" t="s">
        <v>9</v>
      </c>
      <c r="E3" s="6">
        <v>68497.757342013356</v>
      </c>
    </row>
    <row r="4" spans="1:5">
      <c r="A4" s="27">
        <v>46153</v>
      </c>
      <c r="B4" s="26">
        <v>16068.49495319</v>
      </c>
      <c r="C4" s="17">
        <f t="shared" ref="C4:C26" si="0">+((B8-B9)/B9)*100</f>
        <v>70.107388483787062</v>
      </c>
      <c r="D4" t="s">
        <v>10</v>
      </c>
      <c r="E4" s="7">
        <v>85928.931135131905</v>
      </c>
    </row>
    <row r="5" spans="1:5">
      <c r="A5" s="27">
        <v>46150</v>
      </c>
      <c r="B5" s="26">
        <v>23652.710333340001</v>
      </c>
      <c r="C5" s="17">
        <f t="shared" si="0"/>
        <v>-43.255825515735765</v>
      </c>
      <c r="D5" t="s">
        <v>30</v>
      </c>
      <c r="E5" s="7">
        <v>22227.4775024345</v>
      </c>
    </row>
    <row r="6" spans="1:5">
      <c r="A6" s="25">
        <v>46149</v>
      </c>
      <c r="B6" s="24">
        <v>131.99794839</v>
      </c>
      <c r="C6" s="17">
        <f t="shared" si="0"/>
        <v>207.73664296544806</v>
      </c>
    </row>
    <row r="7" spans="1:5">
      <c r="A7" s="20">
        <v>46148</v>
      </c>
      <c r="B7" s="18">
        <v>745.52443231999996</v>
      </c>
      <c r="C7" s="17">
        <f t="shared" si="0"/>
        <v>-59.636256133262869</v>
      </c>
    </row>
    <row r="8" spans="1:5">
      <c r="A8" s="20">
        <v>46147</v>
      </c>
      <c r="B8" s="18">
        <v>84317.802960360001</v>
      </c>
      <c r="C8" s="17">
        <f t="shared" si="0"/>
        <v>74.333012643706198</v>
      </c>
    </row>
    <row r="9" spans="1:5">
      <c r="A9" s="20">
        <v>46146</v>
      </c>
      <c r="B9" s="18">
        <v>49567.396050169998</v>
      </c>
      <c r="C9" s="17">
        <f t="shared" si="0"/>
        <v>-33.842006324553125</v>
      </c>
    </row>
    <row r="10" spans="1:5">
      <c r="A10" s="21">
        <v>46142</v>
      </c>
      <c r="B10" s="18">
        <v>87352.396084139997</v>
      </c>
      <c r="C10" s="17">
        <f t="shared" si="0"/>
        <v>1210.6463903543759</v>
      </c>
    </row>
    <row r="11" spans="1:5">
      <c r="A11" s="21">
        <v>46141</v>
      </c>
      <c r="B11" s="18">
        <v>28385.438679769999</v>
      </c>
      <c r="C11" s="17">
        <f t="shared" si="0"/>
        <v>-73.032401489373797</v>
      </c>
    </row>
    <row r="12" spans="1:5">
      <c r="A12" s="21">
        <v>46140</v>
      </c>
      <c r="B12" s="18">
        <v>70324.097718699995</v>
      </c>
      <c r="C12" s="17">
        <f t="shared" si="0"/>
        <v>-64.046760511667529</v>
      </c>
    </row>
    <row r="13" spans="1:5">
      <c r="A13" s="21">
        <v>46139</v>
      </c>
      <c r="B13" s="18">
        <v>40338.944788629997</v>
      </c>
      <c r="C13" s="17">
        <f t="shared" si="0"/>
        <v>-6.5402088492716128</v>
      </c>
    </row>
    <row r="14" spans="1:5">
      <c r="A14" s="21">
        <v>46136</v>
      </c>
      <c r="B14" s="18">
        <v>60973.651931649998</v>
      </c>
      <c r="C14" s="17">
        <f t="shared" si="0"/>
        <v>198.19948129202027</v>
      </c>
    </row>
    <row r="15" spans="1:5">
      <c r="A15" s="21">
        <v>46135</v>
      </c>
      <c r="B15" s="18">
        <v>4652.1817311200002</v>
      </c>
      <c r="C15" s="17">
        <f t="shared" si="0"/>
        <v>91040.237411852577</v>
      </c>
    </row>
    <row r="16" spans="1:5">
      <c r="A16" s="21">
        <v>46134</v>
      </c>
      <c r="B16" s="18">
        <v>17251.00486529</v>
      </c>
      <c r="C16" s="17">
        <f t="shared" si="0"/>
        <v>19.572063797541304</v>
      </c>
    </row>
    <row r="17" spans="1:3">
      <c r="A17" s="21">
        <v>46133</v>
      </c>
      <c r="B17" s="18">
        <v>47981.781644150004</v>
      </c>
      <c r="C17" s="17">
        <f t="shared" si="0"/>
        <v>-2.5764893835585476</v>
      </c>
    </row>
    <row r="18" spans="1:3">
      <c r="A18" s="21">
        <v>46132</v>
      </c>
      <c r="B18" s="18">
        <v>51339.49161813</v>
      </c>
      <c r="C18" s="17">
        <f t="shared" si="0"/>
        <v>-99.344926580920657</v>
      </c>
    </row>
    <row r="19" spans="1:3">
      <c r="A19" s="21">
        <v>46129</v>
      </c>
      <c r="B19" s="18">
        <v>17216.492596060001</v>
      </c>
      <c r="C19" s="17">
        <f t="shared" si="0"/>
        <v>-68.887087467151304</v>
      </c>
    </row>
    <row r="20" spans="1:3">
      <c r="A20" s="21">
        <v>46128</v>
      </c>
      <c r="B20" s="18">
        <v>18.890111640000001</v>
      </c>
      <c r="C20" s="17">
        <f t="shared" si="0"/>
        <v>19054.886991293832</v>
      </c>
    </row>
    <row r="21" spans="1:3">
      <c r="A21" s="21">
        <v>46127</v>
      </c>
      <c r="B21" s="18">
        <v>15.79809785</v>
      </c>
      <c r="C21" s="17">
        <f t="shared" si="0"/>
        <v>-92.845434694034026</v>
      </c>
    </row>
    <row r="22" spans="1:3">
      <c r="A22" s="21">
        <v>46126</v>
      </c>
      <c r="B22" s="18">
        <v>16.215898760000002</v>
      </c>
      <c r="C22" s="17">
        <f t="shared" si="0"/>
        <v>396.32497533121034</v>
      </c>
    </row>
    <row r="23" spans="1:3">
      <c r="A23" s="21">
        <v>46125</v>
      </c>
      <c r="B23" s="18">
        <v>2475.4322626600001</v>
      </c>
      <c r="C23" s="17">
        <f t="shared" si="0"/>
        <v>-98.322351149824243</v>
      </c>
    </row>
    <row r="24" spans="1:3">
      <c r="A24" s="21">
        <v>46122</v>
      </c>
      <c r="B24" s="18">
        <v>7956.2858669899997</v>
      </c>
      <c r="C24" s="17">
        <f t="shared" si="0"/>
        <v>1191.1589836815915</v>
      </c>
    </row>
    <row r="25" spans="1:3">
      <c r="A25" s="21">
        <v>46121</v>
      </c>
      <c r="B25" s="18">
        <v>41.536584740000002</v>
      </c>
      <c r="C25" s="17">
        <f t="shared" si="0"/>
        <v>-89.738241267184833</v>
      </c>
    </row>
    <row r="26" spans="1:3">
      <c r="A26" s="21">
        <v>46120</v>
      </c>
      <c r="B26" s="18">
        <v>580.56056466999996</v>
      </c>
      <c r="C26" s="17">
        <f t="shared" si="0"/>
        <v>-77.08997404756451</v>
      </c>
    </row>
    <row r="27" spans="1:3">
      <c r="A27" s="21">
        <v>46119</v>
      </c>
      <c r="B27" s="18">
        <v>116.97186189</v>
      </c>
      <c r="C27" s="17">
        <v>0</v>
      </c>
    </row>
    <row r="28" spans="1:3">
      <c r="A28" s="21">
        <v>46118</v>
      </c>
      <c r="B28" s="18">
        <v>6972.36861443</v>
      </c>
    </row>
    <row r="29" spans="1:3">
      <c r="A29" s="21">
        <v>46113</v>
      </c>
      <c r="B29" s="18">
        <v>540.00852741999995</v>
      </c>
    </row>
    <row r="30" spans="1:3">
      <c r="A30" s="21">
        <v>46112</v>
      </c>
      <c r="B30" s="18">
        <v>5262.3389565099997</v>
      </c>
    </row>
    <row r="31" spans="1:3">
      <c r="A31" s="21">
        <v>46111</v>
      </c>
      <c r="B31" s="18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7">
        <v>46136</v>
      </c>
      <c r="B16" s="19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7" sqref="A7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6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6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6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6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6">
        <f>+((G6-G5)/G5)*100</f>
        <v>3.0146874710954426</v>
      </c>
    </row>
    <row r="7" spans="1:8">
      <c r="A7" s="27">
        <v>46143</v>
      </c>
      <c r="B7" s="19">
        <v>56289349.634710021</v>
      </c>
      <c r="C7" s="19">
        <v>1572208957.4513197</v>
      </c>
      <c r="D7" s="19">
        <v>131632832.49728999</v>
      </c>
      <c r="E7" s="19">
        <v>1760131139.5833197</v>
      </c>
      <c r="F7" s="19">
        <v>1480052.1803799996</v>
      </c>
      <c r="G7" s="19">
        <v>1761611191.7636998</v>
      </c>
      <c r="H7" s="30">
        <v>9.2253839605925378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G17" sqref="G1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style="15" bestFit="1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5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5">
        <f t="shared" ref="E3:E17" si="0">+((D3-D2)/D2)*100</f>
        <v>4.8691139433717465</v>
      </c>
      <c r="F3" s="5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>
      <c r="A12" s="2">
        <v>46147</v>
      </c>
      <c r="B12" s="13">
        <v>13869</v>
      </c>
      <c r="C12">
        <v>3</v>
      </c>
      <c r="D12" s="13">
        <v>13872</v>
      </c>
      <c r="E12" s="5">
        <f t="shared" si="0"/>
        <v>-1.3441433752933647</v>
      </c>
      <c r="F12" s="5">
        <v>-0.01</v>
      </c>
    </row>
    <row r="13" spans="1:7">
      <c r="A13" s="27">
        <v>46148</v>
      </c>
      <c r="B13" s="29">
        <v>13411</v>
      </c>
      <c r="C13" s="26">
        <v>3</v>
      </c>
      <c r="D13" s="29">
        <v>13414</v>
      </c>
      <c r="E13" s="28">
        <f t="shared" si="0"/>
        <v>-3.3016147635524797</v>
      </c>
      <c r="F13" s="28">
        <v>0.01</v>
      </c>
    </row>
    <row r="14" spans="1:7">
      <c r="A14" s="27">
        <v>46149</v>
      </c>
      <c r="B14" s="29">
        <v>13460</v>
      </c>
      <c r="C14" s="26">
        <v>3</v>
      </c>
      <c r="D14" s="29">
        <v>13463</v>
      </c>
      <c r="E14" s="28">
        <f t="shared" si="0"/>
        <v>0.36528999552706126</v>
      </c>
      <c r="F14" s="28">
        <v>0.01</v>
      </c>
    </row>
    <row r="15" spans="1:7">
      <c r="A15" s="27">
        <v>46150</v>
      </c>
      <c r="B15" s="29">
        <v>13398</v>
      </c>
      <c r="C15" s="26">
        <v>3</v>
      </c>
      <c r="D15" s="29">
        <v>13401</v>
      </c>
      <c r="E15" s="28">
        <f t="shared" si="0"/>
        <v>-0.46052142910198324</v>
      </c>
      <c r="F15" s="28">
        <v>-0.01</v>
      </c>
    </row>
    <row r="16" spans="1:7">
      <c r="A16" s="27">
        <v>46153</v>
      </c>
      <c r="B16" s="29">
        <v>13309</v>
      </c>
      <c r="C16">
        <v>3</v>
      </c>
      <c r="D16" s="29">
        <v>13312</v>
      </c>
      <c r="E16" s="28">
        <f t="shared" si="0"/>
        <v>-0.66412954257144985</v>
      </c>
      <c r="F16" s="28">
        <v>-0.01</v>
      </c>
    </row>
    <row r="17" spans="1:6">
      <c r="A17" s="27">
        <v>46154</v>
      </c>
      <c r="B17" s="29">
        <v>13300</v>
      </c>
      <c r="C17" s="26">
        <v>3</v>
      </c>
      <c r="D17" s="29">
        <v>13303</v>
      </c>
      <c r="E17" s="28">
        <f t="shared" si="0"/>
        <v>-6.7608173076923073E-2</v>
      </c>
      <c r="F17" s="28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2026-05-14T12:56:51Z</dcterms:modified>
</cp:coreProperties>
</file>