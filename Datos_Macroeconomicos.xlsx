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3585" yWindow="1320" windowWidth="16200" windowHeight="930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" i="6" l="1"/>
  <c r="E7" i="6"/>
  <c r="E9" i="6"/>
  <c r="C15" i="4"/>
</calcChain>
</file>

<file path=xl/sharedStrings.xml><?xml version="1.0" encoding="utf-8"?>
<sst xmlns="http://schemas.openxmlformats.org/spreadsheetml/2006/main" count="39" uniqueCount="32">
  <si>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</si>
  <si>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</si>
  <si>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</si>
  <si>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</si>
  <si>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</si>
  <si>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</si>
  <si>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</si>
  <si>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</si>
  <si>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</si>
  <si>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</si>
  <si>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</si>
  <si>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</si>
  <si>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</si>
  <si>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</si>
  <si>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</si>
  <si>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</si>
  <si>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</si>
  <si>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</si>
  <si>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</si>
  <si>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</si>
  <si>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</si>
  <si>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</si>
  <si>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</si>
  <si>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</si>
  <si>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</si>
  <si>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</si>
  <si>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</si>
  <si>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</si>
  <si>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</si>
  <si>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</si>
  <si>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</si>
  <si>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24/04/2026 (*)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</si>
</sst>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810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10" applyNumberFormat="0" applyFont="0" applyAlignment="0" applyProtection="0"/>
    <xf numFmtId="0" fontId="1" fillId="3" borderId="6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4" fillId="0" borderId="0" applyNumberFormat="0" applyFill="0" applyBorder="0" applyAlignment="0" applyProtection="0"/>
  </cellStyleXfs>
  <cellXfs count="21">
    <xf numFmtId="0" fontId="0" fillId="0" borderId="0" xfId="0"/>
    <xf numFmtId="14" fontId="4" fillId="0" borderId="0" xfId="2" applyNumberFormat="1" applyFont="1" applyAlignment="1">
      <alignment horizontal="center"/>
    </xf>
    <xf numFmtId="4" fontId="4" fillId="0" borderId="0" xfId="3" applyNumberFormat="1" applyFont="1" applyAlignment="1">
      <alignment horizontal="right" indent="1"/>
    </xf>
    <xf numFmtId="3" fontId="4" fillId="0" borderId="0" xfId="3" applyNumberFormat="1" applyFont="1" applyAlignment="1">
      <alignment horizontal="right" indent="1"/>
    </xf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1" xfId="1" applyNumberFormat="1" applyFon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4" fontId="0" fillId="0" borderId="3" xfId="1" applyNumberFormat="1" applyFont="1" applyBorder="1" applyAlignment="1">
      <alignment horizontal="center"/>
    </xf>
    <xf numFmtId="4" fontId="0" fillId="0" borderId="4" xfId="1" applyNumberFormat="1" applyFont="1" applyBorder="1" applyAlignment="1">
      <alignment horizontal="center"/>
    </xf>
    <xf numFmtId="4" fontId="0" fillId="0" borderId="5" xfId="1" applyNumberFormat="1" applyFont="1" applyBorder="1" applyAlignment="1">
      <alignment horizontal="center"/>
    </xf>
    <xf numFmtId="10" fontId="4" fillId="0" borderId="0" xfId="1" applyNumberFormat="1" applyFont="1" applyFill="1" applyAlignment="1">
      <alignment horizontal="center"/>
    </xf>
    <xf numFmtId="2" fontId="0" fillId="0" borderId="0" xfId="0" applyNumberFormat="1" applyAlignment="1">
      <alignment horizontal="center"/>
    </xf>
    <xf numFmtId="14" fontId="4" fillId="2" borderId="0" xfId="0" applyNumberFormat="1" applyFont="1" applyFill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3" fontId="4" fillId="0" borderId="0" xfId="3" applyNumberFormat="1" applyFont="1" applyFill="1" applyAlignment="1">
      <alignment horizontal="right" indent="1"/>
    </xf>
    <xf numFmtId="14" fontId="0" fillId="0" borderId="0" xfId="0" applyNumberFormat="1" applyAlignment="1">
      <alignment horizontal="center"/>
    </xf>
    <xf numFmtId="2" fontId="0" fillId="0" borderId="0" xfId="0" applyNumberFormat="1"/>
    <xf numFmtId="2" fontId="4" fillId="0" borderId="0" xfId="3" applyNumberFormat="1" applyFont="1" applyFill="1" applyAlignment="1">
      <alignment horizontal="right" indent="1"/>
    </xf>
  </cellXfs>
  <cellStyles count="810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2" xfId="123"/>
    <cellStyle name="Millares 2 2" xfId="124"/>
    <cellStyle name="Millares 2 2 2" xfId="125"/>
    <cellStyle name="Millares 2 3" xfId="126"/>
    <cellStyle name="Millares 2 4" xfId="127"/>
    <cellStyle name="Millares 3" xfId="128"/>
    <cellStyle name="Millares 3 10" xfId="129"/>
    <cellStyle name="Millares 3 100" xfId="130"/>
    <cellStyle name="Millares 3 101" xfId="131"/>
    <cellStyle name="Millares 3 102" xfId="132"/>
    <cellStyle name="Millares 3 103" xfId="133"/>
    <cellStyle name="Millares 3 103 2" xfId="134"/>
    <cellStyle name="Millares 3 103 2 2" xfId="135"/>
    <cellStyle name="Millares 3 104" xfId="136"/>
    <cellStyle name="Millares 3 11" xfId="137"/>
    <cellStyle name="Millares 3 12" xfId="138"/>
    <cellStyle name="Millares 3 13" xfId="139"/>
    <cellStyle name="Millares 3 14" xfId="140"/>
    <cellStyle name="Millares 3 15" xfId="141"/>
    <cellStyle name="Millares 3 16" xfId="142"/>
    <cellStyle name="Millares 3 17" xfId="143"/>
    <cellStyle name="Millares 3 18" xfId="144"/>
    <cellStyle name="Millares 3 19" xfId="145"/>
    <cellStyle name="Millares 3 2" xfId="146"/>
    <cellStyle name="Millares 3 2 2" xfId="147"/>
    <cellStyle name="Millares 3 2 3" xfId="148"/>
    <cellStyle name="Millares 3 20" xfId="149"/>
    <cellStyle name="Millares 3 21" xfId="150"/>
    <cellStyle name="Millares 3 22" xfId="151"/>
    <cellStyle name="Millares 3 23" xfId="152"/>
    <cellStyle name="Millares 3 24" xfId="153"/>
    <cellStyle name="Millares 3 25" xfId="154"/>
    <cellStyle name="Millares 3 26" xfId="155"/>
    <cellStyle name="Millares 3 27" xfId="156"/>
    <cellStyle name="Millares 3 28" xfId="157"/>
    <cellStyle name="Millares 3 29" xfId="158"/>
    <cellStyle name="Millares 3 3" xfId="159"/>
    <cellStyle name="Millares 3 30" xfId="160"/>
    <cellStyle name="Millares 3 31" xfId="161"/>
    <cellStyle name="Millares 3 32" xfId="162"/>
    <cellStyle name="Millares 3 33" xfId="163"/>
    <cellStyle name="Millares 3 34" xfId="164"/>
    <cellStyle name="Millares 3 35" xfId="165"/>
    <cellStyle name="Millares 3 36" xfId="166"/>
    <cellStyle name="Millares 3 37" xfId="167"/>
    <cellStyle name="Millares 3 38" xfId="168"/>
    <cellStyle name="Millares 3 39" xfId="169"/>
    <cellStyle name="Millares 3 4" xfId="170"/>
    <cellStyle name="Millares 3 40" xfId="171"/>
    <cellStyle name="Millares 3 41" xfId="172"/>
    <cellStyle name="Millares 3 42" xfId="173"/>
    <cellStyle name="Millares 3 43" xfId="174"/>
    <cellStyle name="Millares 3 44" xfId="175"/>
    <cellStyle name="Millares 3 45" xfId="176"/>
    <cellStyle name="Millares 3 46" xfId="177"/>
    <cellStyle name="Millares 3 47" xfId="178"/>
    <cellStyle name="Millares 3 48" xfId="179"/>
    <cellStyle name="Millares 3 49" xfId="180"/>
    <cellStyle name="Millares 3 5" xfId="181"/>
    <cellStyle name="Millares 3 50" xfId="182"/>
    <cellStyle name="Millares 3 51" xfId="183"/>
    <cellStyle name="Millares 3 52" xfId="184"/>
    <cellStyle name="Millares 3 53" xfId="185"/>
    <cellStyle name="Millares 3 54" xfId="186"/>
    <cellStyle name="Millares 3 55" xfId="187"/>
    <cellStyle name="Millares 3 56" xfId="188"/>
    <cellStyle name="Millares 3 57" xfId="189"/>
    <cellStyle name="Millares 3 58" xfId="190"/>
    <cellStyle name="Millares 3 59" xfId="191"/>
    <cellStyle name="Millares 3 6" xfId="192"/>
    <cellStyle name="Millares 3 60" xfId="193"/>
    <cellStyle name="Millares 3 61" xfId="194"/>
    <cellStyle name="Millares 3 62" xfId="195"/>
    <cellStyle name="Millares 3 63" xfId="196"/>
    <cellStyle name="Millares 3 64" xfId="197"/>
    <cellStyle name="Millares 3 65" xfId="198"/>
    <cellStyle name="Millares 3 66" xfId="199"/>
    <cellStyle name="Millares 3 67" xfId="200"/>
    <cellStyle name="Millares 3 68" xfId="201"/>
    <cellStyle name="Millares 3 69" xfId="202"/>
    <cellStyle name="Millares 3 7" xfId="203"/>
    <cellStyle name="Millares 3 70" xfId="204"/>
    <cellStyle name="Millares 3 71" xfId="205"/>
    <cellStyle name="Millares 3 72" xfId="206"/>
    <cellStyle name="Millares 3 73" xfId="207"/>
    <cellStyle name="Millares 3 74" xfId="208"/>
    <cellStyle name="Millares 3 75" xfId="209"/>
    <cellStyle name="Millares 3 76" xfId="210"/>
    <cellStyle name="Millares 3 77" xfId="211"/>
    <cellStyle name="Millares 3 78" xfId="212"/>
    <cellStyle name="Millares 3 79" xfId="213"/>
    <cellStyle name="Millares 3 8" xfId="214"/>
    <cellStyle name="Millares 3 80" xfId="215"/>
    <cellStyle name="Millares 3 81" xfId="216"/>
    <cellStyle name="Millares 3 82" xfId="217"/>
    <cellStyle name="Millares 3 83" xfId="218"/>
    <cellStyle name="Millares 3 84" xfId="219"/>
    <cellStyle name="Millares 3 85" xfId="220"/>
    <cellStyle name="Millares 3 86" xfId="221"/>
    <cellStyle name="Millares 3 87" xfId="222"/>
    <cellStyle name="Millares 3 88" xfId="223"/>
    <cellStyle name="Millares 3 89" xfId="224"/>
    <cellStyle name="Millares 3 9" xfId="225"/>
    <cellStyle name="Millares 3 90" xfId="226"/>
    <cellStyle name="Millares 3 91" xfId="227"/>
    <cellStyle name="Millares 3 92" xfId="228"/>
    <cellStyle name="Millares 3 93" xfId="229"/>
    <cellStyle name="Millares 3 94" xfId="230"/>
    <cellStyle name="Millares 3 95" xfId="231"/>
    <cellStyle name="Millares 3 96" xfId="232"/>
    <cellStyle name="Millares 3 97" xfId="233"/>
    <cellStyle name="Millares 3 98" xfId="234"/>
    <cellStyle name="Millares 3 99" xfId="235"/>
    <cellStyle name="Millares 4" xfId="236"/>
    <cellStyle name="Millares 4 2" xfId="237"/>
    <cellStyle name="Millares 5" xfId="238"/>
    <cellStyle name="Millares 5 2" xfId="239"/>
    <cellStyle name="Millares 5 3" xfId="240"/>
    <cellStyle name="Millares 6" xfId="241"/>
    <cellStyle name="Millares 6 2" xfId="242"/>
    <cellStyle name="Millares 6 3" xfId="243"/>
    <cellStyle name="Millares 7" xfId="244"/>
    <cellStyle name="Millares 8" xfId="245"/>
    <cellStyle name="Millares 8 2" xfId="246"/>
    <cellStyle name="Millares 9" xfId="247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workbookViewId="0">
      <selection activeCell="A29" sqref="A29"/>
    </sheetView>
  </sheetViews>
  <sheetFormatPr baseColWidth="10" defaultColWidth="9" defaultRowHeight="14.25"/>
  <cols>
    <col min="1" max="1" width="26.625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">
        <v>46101</v>
      </c>
      <c r="B2">
        <v>12581.194</v>
      </c>
      <c r="D2">
        <v>3</v>
      </c>
      <c r="F2">
        <v>5</v>
      </c>
      <c r="H2" s="2">
        <v>4.8399999999999999E-2</v>
      </c>
    </row>
    <row r="3" spans="1:8">
      <c r="A3" s="1">
        <v>46104</v>
      </c>
      <c r="B3">
        <v>7000</v>
      </c>
      <c r="D3">
        <v>5</v>
      </c>
      <c r="F3">
        <v>5</v>
      </c>
      <c r="H3" s="2">
        <v>0.05</v>
      </c>
    </row>
    <row r="4" spans="1:8">
      <c r="A4" s="1">
        <v>46105</v>
      </c>
      <c r="B4">
        <v>0</v>
      </c>
      <c r="D4">
        <v>0</v>
      </c>
      <c r="F4">
        <v>0</v>
      </c>
      <c r="H4" s="2">
        <v>0</v>
      </c>
    </row>
    <row r="5" spans="1:8">
      <c r="A5" s="1">
        <v>46106</v>
      </c>
      <c r="B5">
        <v>31373.66</v>
      </c>
      <c r="D5">
        <v>0.1</v>
      </c>
      <c r="F5">
        <v>15</v>
      </c>
      <c r="H5" s="2">
        <v>9.2499999999999999E-2</v>
      </c>
    </row>
    <row r="6" spans="1:8">
      <c r="A6" s="1">
        <v>46107</v>
      </c>
      <c r="B6">
        <v>0</v>
      </c>
      <c r="D6">
        <v>0</v>
      </c>
      <c r="F6">
        <v>0</v>
      </c>
      <c r="H6" s="2">
        <v>0</v>
      </c>
    </row>
    <row r="7" spans="1:8">
      <c r="A7" s="1">
        <v>46108</v>
      </c>
      <c r="B7">
        <v>17816.601900000001</v>
      </c>
      <c r="D7">
        <v>3</v>
      </c>
      <c r="F7">
        <v>15</v>
      </c>
      <c r="H7" s="2">
        <v>5.8799999999999998E-2</v>
      </c>
    </row>
    <row r="8" spans="1:8">
      <c r="A8" s="1">
        <v>46111</v>
      </c>
      <c r="B8">
        <v>0</v>
      </c>
      <c r="D8">
        <v>0</v>
      </c>
      <c r="F8">
        <v>0</v>
      </c>
      <c r="H8" s="2">
        <v>0</v>
      </c>
    </row>
    <row r="9" spans="1:8">
      <c r="A9" s="1">
        <v>46112</v>
      </c>
      <c r="B9">
        <v>0</v>
      </c>
      <c r="D9">
        <v>0</v>
      </c>
      <c r="F9">
        <v>0</v>
      </c>
      <c r="H9" s="2">
        <v>0</v>
      </c>
    </row>
    <row r="10" spans="1:8">
      <c r="A10" s="1">
        <v>46113</v>
      </c>
      <c r="B10">
        <v>0</v>
      </c>
      <c r="D10">
        <v>0</v>
      </c>
      <c r="F10">
        <v>0</v>
      </c>
      <c r="H10" s="3">
        <v>0</v>
      </c>
    </row>
    <row r="11" spans="1:8">
      <c r="A11" s="1">
        <v>46118</v>
      </c>
      <c r="B11">
        <v>2034.26</v>
      </c>
      <c r="D11">
        <v>90</v>
      </c>
      <c r="F11">
        <v>100</v>
      </c>
      <c r="H11" s="3">
        <v>0.95</v>
      </c>
    </row>
    <row r="12" spans="1:8">
      <c r="A12" s="1">
        <v>46119</v>
      </c>
      <c r="B12">
        <v>2105.5</v>
      </c>
      <c r="D12">
        <v>100</v>
      </c>
      <c r="F12">
        <v>101</v>
      </c>
      <c r="H12" s="3">
        <v>1.0046999999999999</v>
      </c>
    </row>
    <row r="13" spans="1:8">
      <c r="A13" s="1">
        <v>46120</v>
      </c>
      <c r="B13">
        <v>3874.3249999999998</v>
      </c>
      <c r="D13">
        <v>100</v>
      </c>
      <c r="F13">
        <v>110</v>
      </c>
      <c r="H13" s="3">
        <v>1.0604</v>
      </c>
    </row>
    <row r="14" spans="1:8">
      <c r="A14" s="1">
        <v>46121</v>
      </c>
      <c r="B14">
        <v>5291.1750000000002</v>
      </c>
      <c r="D14">
        <v>120</v>
      </c>
      <c r="F14">
        <v>120</v>
      </c>
      <c r="H14" s="3">
        <v>120</v>
      </c>
    </row>
    <row r="15" spans="1:8">
      <c r="A15" s="1">
        <v>46122</v>
      </c>
      <c r="B15">
        <v>8851</v>
      </c>
      <c r="D15">
        <v>35</v>
      </c>
      <c r="F15">
        <v>200</v>
      </c>
      <c r="H15" s="3">
        <v>0.35270000000000001</v>
      </c>
    </row>
    <row r="16" spans="1:8">
      <c r="A16" s="1">
        <v>46125</v>
      </c>
      <c r="B16">
        <v>0</v>
      </c>
      <c r="D16">
        <v>0</v>
      </c>
      <c r="F16">
        <v>0</v>
      </c>
      <c r="H16" s="3">
        <v>0</v>
      </c>
    </row>
    <row r="17" spans="1:8">
      <c r="A17" s="1">
        <v>46126</v>
      </c>
      <c r="B17">
        <v>0</v>
      </c>
      <c r="D17">
        <v>0</v>
      </c>
      <c r="F17">
        <v>0</v>
      </c>
      <c r="H17" s="3">
        <v>0</v>
      </c>
    </row>
    <row r="18" spans="1:8">
      <c r="A18" s="1">
        <v>46127</v>
      </c>
      <c r="B18">
        <v>0</v>
      </c>
      <c r="D18">
        <v>0</v>
      </c>
      <c r="F18">
        <v>0</v>
      </c>
      <c r="H18" s="3">
        <v>0</v>
      </c>
    </row>
    <row r="19" spans="1:8">
      <c r="A19" s="1">
        <v>46128</v>
      </c>
      <c r="B19">
        <v>0</v>
      </c>
      <c r="D19">
        <v>0</v>
      </c>
      <c r="F19">
        <v>0</v>
      </c>
      <c r="H19" s="3">
        <v>0</v>
      </c>
    </row>
    <row r="20" spans="1:8">
      <c r="A20" s="1">
        <v>46129</v>
      </c>
      <c r="B20">
        <v>0</v>
      </c>
      <c r="D20">
        <v>0</v>
      </c>
      <c r="F20">
        <v>0</v>
      </c>
      <c r="H20" s="3">
        <v>0</v>
      </c>
    </row>
    <row r="21" spans="1:8">
      <c r="A21" s="1">
        <v>46132</v>
      </c>
      <c r="B21">
        <v>0</v>
      </c>
      <c r="D21">
        <v>0</v>
      </c>
      <c r="F21">
        <v>0</v>
      </c>
      <c r="H21" s="3">
        <v>0</v>
      </c>
    </row>
    <row r="22" spans="1:8">
      <c r="A22" s="1">
        <v>46133</v>
      </c>
      <c r="B22">
        <v>0</v>
      </c>
      <c r="D22">
        <v>0</v>
      </c>
      <c r="F22">
        <v>0</v>
      </c>
      <c r="H22" s="3">
        <v>0</v>
      </c>
    </row>
    <row r="23" spans="1:8">
      <c r="A23" s="1">
        <v>46134</v>
      </c>
      <c r="B23">
        <v>300</v>
      </c>
      <c r="D23">
        <v>100</v>
      </c>
      <c r="F23">
        <v>140</v>
      </c>
      <c r="H23" s="3">
        <v>120</v>
      </c>
    </row>
    <row r="24" spans="1:8">
      <c r="A24" s="1">
        <v>46135</v>
      </c>
      <c r="B24">
        <v>38366.589999999997</v>
      </c>
      <c r="D24">
        <v>100</v>
      </c>
      <c r="F24">
        <v>100.01</v>
      </c>
      <c r="H24" s="3">
        <v>100</v>
      </c>
    </row>
    <row r="25" spans="1:8">
      <c r="A25" s="1">
        <v>46136</v>
      </c>
      <c r="B25">
        <v>146.97</v>
      </c>
      <c r="D25">
        <v>35</v>
      </c>
      <c r="F25">
        <v>35</v>
      </c>
      <c r="H25" s="3">
        <v>35</v>
      </c>
    </row>
    <row r="26" spans="1:8">
      <c r="A26" s="1">
        <v>46139</v>
      </c>
      <c r="B26">
        <v>0</v>
      </c>
      <c r="D26">
        <v>0</v>
      </c>
      <c r="F26">
        <v>0</v>
      </c>
      <c r="H26" s="3">
        <v>0</v>
      </c>
    </row>
    <row r="27" spans="1:8">
      <c r="A27" s="18">
        <v>46140</v>
      </c>
      <c r="B27">
        <v>0</v>
      </c>
      <c r="D27">
        <v>0</v>
      </c>
      <c r="F27">
        <v>0</v>
      </c>
      <c r="H27" s="17">
        <v>0</v>
      </c>
    </row>
    <row r="28" spans="1:8">
      <c r="A28" s="18">
        <v>46141</v>
      </c>
      <c r="B28">
        <v>0</v>
      </c>
      <c r="D28">
        <v>0</v>
      </c>
      <c r="F28">
        <v>0</v>
      </c>
      <c r="H28" s="17">
        <v>0</v>
      </c>
    </row>
    <row r="29" spans="1:8">
      <c r="A29" s="18">
        <v>46142</v>
      </c>
      <c r="B29" s="19">
        <v>37961.673699999999</v>
      </c>
      <c r="C29" s="19"/>
      <c r="D29" s="19">
        <v>15</v>
      </c>
      <c r="E29" s="19"/>
      <c r="F29" s="19">
        <v>25</v>
      </c>
      <c r="G29" s="19"/>
      <c r="H29" s="20">
        <v>18.43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selection activeCell="D28" sqref="D28"/>
    </sheetView>
  </sheetViews>
  <sheetFormatPr baseColWidth="10" defaultColWidth="9" defaultRowHeight="14.25"/>
  <cols>
    <col min="1" max="1" width="9.125" bestFit="1" customWidth="1"/>
    <col min="2" max="2" width="21.75" customWidth="1"/>
    <col min="4" max="4" width="17.5" customWidth="1"/>
    <col min="5" max="5" width="24.625" bestFit="1" customWidth="1"/>
  </cols>
  <sheetData>
    <row r="1" spans="1:5">
      <c r="A1" t="s">
        <v>0</v>
      </c>
      <c r="B1" t="s">
        <v>5</v>
      </c>
      <c r="D1" t="s">
        <v>6</v>
      </c>
      <c r="E1" t="s">
        <v>7</v>
      </c>
    </row>
    <row r="2" spans="1:5">
      <c r="A2" s="14">
        <v>46142</v>
      </c>
      <c r="B2">
        <v>87352.396084139997</v>
      </c>
      <c r="D2" t="s">
        <v>8</v>
      </c>
      <c r="E2" s="15">
        <v>42155.425069182624</v>
      </c>
    </row>
    <row r="3" spans="1:5">
      <c r="A3" s="14">
        <v>46141</v>
      </c>
      <c r="B3">
        <v>28385.438679769999</v>
      </c>
      <c r="D3" t="s">
        <v>9</v>
      </c>
      <c r="E3" s="15">
        <v>68497.757342013356</v>
      </c>
    </row>
    <row r="4" spans="1:5">
      <c r="A4" s="14">
        <v>46140</v>
      </c>
      <c r="B4">
        <v>70324.097718699995</v>
      </c>
      <c r="D4" t="s">
        <v>10</v>
      </c>
      <c r="E4" s="16">
        <v>85928.931135131905</v>
      </c>
    </row>
    <row r="5" spans="1:5">
      <c r="A5" s="14">
        <v>46139</v>
      </c>
      <c r="B5">
        <v>40338.944788629997</v>
      </c>
      <c r="D5" t="s">
        <v>30</v>
      </c>
      <c r="E5" s="16">
        <v>22227.4775024345</v>
      </c>
    </row>
    <row r="6" spans="1:5">
      <c r="A6" s="14">
        <v>46136</v>
      </c>
      <c r="B6">
        <v>60973.651931649998</v>
      </c>
    </row>
    <row r="7" spans="1:5">
      <c r="A7" s="14">
        <v>46135</v>
      </c>
      <c r="B7">
        <v>4652.1817311200002</v>
      </c>
    </row>
    <row r="8" spans="1:5">
      <c r="A8" s="14">
        <v>46134</v>
      </c>
      <c r="B8">
        <v>17251.00486529</v>
      </c>
    </row>
    <row r="9" spans="1:5">
      <c r="A9" s="14">
        <v>46133</v>
      </c>
      <c r="B9">
        <v>47981.781644150004</v>
      </c>
    </row>
    <row r="10" spans="1:5">
      <c r="A10" s="14">
        <v>46132</v>
      </c>
      <c r="B10">
        <v>51339.49161813</v>
      </c>
    </row>
    <row r="11" spans="1:5">
      <c r="A11" s="14">
        <v>46129</v>
      </c>
      <c r="B11">
        <v>17216.492596060001</v>
      </c>
    </row>
    <row r="12" spans="1:5">
      <c r="A12" s="14">
        <v>46128</v>
      </c>
      <c r="B12">
        <v>18.890111640000001</v>
      </c>
    </row>
    <row r="13" spans="1:5">
      <c r="A13" s="14">
        <v>46127</v>
      </c>
      <c r="B13">
        <v>15.79809785</v>
      </c>
    </row>
    <row r="14" spans="1:5">
      <c r="A14" s="14">
        <v>46126</v>
      </c>
      <c r="B14">
        <v>16.215898760000002</v>
      </c>
    </row>
    <row r="15" spans="1:5">
      <c r="A15" s="14">
        <v>46125</v>
      </c>
      <c r="B15">
        <v>2475.4322626600001</v>
      </c>
    </row>
    <row r="16" spans="1:5">
      <c r="A16" s="14">
        <v>46122</v>
      </c>
      <c r="B16">
        <v>7956.2858669899997</v>
      </c>
    </row>
    <row r="17" spans="1:2">
      <c r="A17" s="14">
        <v>46121</v>
      </c>
      <c r="B17">
        <v>41.536584740000002</v>
      </c>
    </row>
    <row r="18" spans="1:2">
      <c r="A18" s="14">
        <v>46120</v>
      </c>
      <c r="B18">
        <v>580.56056466999996</v>
      </c>
    </row>
    <row r="19" spans="1:2">
      <c r="A19" s="14">
        <v>46119</v>
      </c>
      <c r="B19">
        <v>116.97186189</v>
      </c>
    </row>
    <row r="20" spans="1:2">
      <c r="A20" s="14">
        <v>46118</v>
      </c>
      <c r="B20">
        <v>6972.36861443</v>
      </c>
    </row>
    <row r="21" spans="1:2">
      <c r="A21" s="14">
        <v>46113</v>
      </c>
      <c r="B21">
        <v>540.00852741999995</v>
      </c>
    </row>
    <row r="22" spans="1:2">
      <c r="A22" s="14">
        <v>46112</v>
      </c>
      <c r="B22">
        <v>5262.3389565099997</v>
      </c>
    </row>
    <row r="23" spans="1:2">
      <c r="A23" s="14">
        <v>46111</v>
      </c>
      <c r="B23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D21" sqref="D21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4">
        <v>233000.41606600001</v>
      </c>
      <c r="C2" s="4">
        <v>12263.179792947369</v>
      </c>
      <c r="D2">
        <v>317.51</v>
      </c>
    </row>
    <row r="3" spans="1:4">
      <c r="A3" t="s">
        <v>9</v>
      </c>
      <c r="B3" s="4">
        <v>222685.80931400001</v>
      </c>
      <c r="C3" s="4">
        <v>12371.433850777779</v>
      </c>
      <c r="D3">
        <v>45.32</v>
      </c>
    </row>
    <row r="4" spans="1:4">
      <c r="A4" t="s">
        <v>10</v>
      </c>
      <c r="B4" s="4">
        <v>217064.39708600001</v>
      </c>
      <c r="C4" s="4">
        <v>10336.399861238096</v>
      </c>
      <c r="D4">
        <v>43.04</v>
      </c>
    </row>
    <row r="5" spans="1:4">
      <c r="A5" t="s">
        <v>30</v>
      </c>
      <c r="B5" s="4">
        <v>98931.490865999993</v>
      </c>
      <c r="C5" s="4">
        <v>4946.5745432999993</v>
      </c>
      <c r="D5" s="19">
        <v>64.086567600538856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D15" sqref="D1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5">
        <v>46024</v>
      </c>
      <c r="B2" s="4">
        <v>680053310.5984205</v>
      </c>
      <c r="C2" s="6"/>
    </row>
    <row r="3" spans="1:3">
      <c r="A3" s="5">
        <v>46031</v>
      </c>
      <c r="B3" s="4">
        <v>631055414.05422926</v>
      </c>
      <c r="C3" s="7">
        <v>-7.2050081634151608E-2</v>
      </c>
    </row>
    <row r="4" spans="1:3">
      <c r="A4" s="5">
        <v>46038</v>
      </c>
      <c r="B4" s="4">
        <v>687738190.99875975</v>
      </c>
      <c r="C4" s="7">
        <v>8.9822186264706616E-2</v>
      </c>
    </row>
    <row r="5" spans="1:3">
      <c r="A5" s="5">
        <v>46045</v>
      </c>
      <c r="B5" s="4">
        <v>728876050.32802963</v>
      </c>
      <c r="C5" s="7">
        <v>5.9816162411350016E-2</v>
      </c>
    </row>
    <row r="6" spans="1:3">
      <c r="A6" s="5">
        <v>46052</v>
      </c>
      <c r="B6" s="4">
        <v>839643409.76085114</v>
      </c>
      <c r="C6" s="7">
        <v>0.15197009063882794</v>
      </c>
    </row>
    <row r="7" spans="1:3">
      <c r="A7" s="5">
        <v>46059</v>
      </c>
      <c r="B7" s="4">
        <v>818274973.23848069</v>
      </c>
      <c r="C7" s="7">
        <v>-2.5449418495950171E-2</v>
      </c>
    </row>
    <row r="8" spans="1:3" ht="15" thickBot="1">
      <c r="A8" s="5">
        <v>46066</v>
      </c>
      <c r="B8" s="4">
        <v>801808360.23688257</v>
      </c>
      <c r="C8" s="8">
        <v>-2.0123569142568742E-2</v>
      </c>
    </row>
    <row r="9" spans="1:3">
      <c r="A9" s="5">
        <v>46073</v>
      </c>
      <c r="B9" s="4">
        <v>886542333.87268889</v>
      </c>
      <c r="C9" s="9">
        <v>0</v>
      </c>
    </row>
    <row r="10" spans="1:3">
      <c r="A10" s="5">
        <v>46080</v>
      </c>
      <c r="B10" s="4">
        <v>938549580.20021927</v>
      </c>
      <c r="C10" s="10">
        <v>5.8663015109889693E-2</v>
      </c>
    </row>
    <row r="11" spans="1:3">
      <c r="A11" s="5">
        <v>46087</v>
      </c>
      <c r="B11" s="4">
        <v>870061809.65898001</v>
      </c>
      <c r="C11" s="10">
        <v>-7.2971926029340772E-2</v>
      </c>
    </row>
    <row r="12" spans="1:3">
      <c r="A12" s="5">
        <v>46094</v>
      </c>
      <c r="B12" s="4">
        <v>959597484.45129991</v>
      </c>
      <c r="C12" s="10">
        <v>0.10290725762048258</v>
      </c>
    </row>
    <row r="13" spans="1:3">
      <c r="A13" s="5">
        <v>46101</v>
      </c>
      <c r="B13" s="4">
        <v>1136404345.7909815</v>
      </c>
      <c r="C13" s="10">
        <v>0.18425106797854962</v>
      </c>
    </row>
    <row r="14" spans="1:3" ht="15" thickBot="1">
      <c r="A14" s="5">
        <v>46108</v>
      </c>
      <c r="B14" s="4">
        <v>1111572721.2404912</v>
      </c>
      <c r="C14" s="11">
        <v>-2.1851046806061425E-2</v>
      </c>
    </row>
    <row r="15" spans="1:3" ht="15" thickBot="1">
      <c r="A15" s="5">
        <v>46129</v>
      </c>
      <c r="B15" s="4">
        <v>1071533894.2527295</v>
      </c>
      <c r="C15" s="11">
        <f>+(B15-B14)/B14</f>
        <v>-3.6019979820194892E-2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A6" sqref="A6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5" customWidth="1"/>
    <col min="6" max="6" width="14.625" customWidth="1"/>
    <col min="7" max="7" width="18.875" customWidth="1"/>
    <col min="8" max="8" width="10.7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5">
        <v>46108</v>
      </c>
      <c r="B2" s="4">
        <v>51894238.144249998</v>
      </c>
      <c r="C2" s="4">
        <v>1352008822.1469994</v>
      </c>
      <c r="D2" s="4">
        <v>114591064.00208002</v>
      </c>
      <c r="E2" s="4">
        <v>1518494124.2933292</v>
      </c>
      <c r="F2" s="4">
        <v>1312229.331</v>
      </c>
      <c r="G2" s="4">
        <v>1519806353.6243293</v>
      </c>
      <c r="H2" s="12">
        <v>0</v>
      </c>
    </row>
    <row r="3" spans="1:8">
      <c r="A3" s="5">
        <v>46115</v>
      </c>
      <c r="B3" s="4">
        <v>53037714.146710016</v>
      </c>
      <c r="C3" s="4">
        <v>1339307607.9621801</v>
      </c>
      <c r="D3" s="4">
        <v>104752190.86271001</v>
      </c>
      <c r="E3" s="4">
        <v>1497097512.9716001</v>
      </c>
      <c r="F3" s="4">
        <v>1329047.3089199997</v>
      </c>
      <c r="G3" s="4">
        <v>1498426560.28052</v>
      </c>
      <c r="H3" s="12">
        <v>-1.4067445693212388E-2</v>
      </c>
    </row>
    <row r="4" spans="1:8">
      <c r="A4" s="5">
        <v>46122</v>
      </c>
      <c r="B4" s="4">
        <v>51300407.269250013</v>
      </c>
      <c r="C4" s="4">
        <v>1366557520.0739398</v>
      </c>
      <c r="D4" s="4">
        <v>93957855.953770012</v>
      </c>
      <c r="E4" s="4">
        <v>1511815783.2969596</v>
      </c>
      <c r="F4" s="4">
        <v>1230831.7066299999</v>
      </c>
      <c r="G4" s="4">
        <v>1513046615.0035896</v>
      </c>
      <c r="H4" s="12">
        <v>9.7569377843467198E-3</v>
      </c>
    </row>
    <row r="5" spans="1:8">
      <c r="A5" s="5">
        <v>46129</v>
      </c>
      <c r="B5" s="4">
        <v>52072039.455540009</v>
      </c>
      <c r="C5" s="4">
        <v>1390532008.0185997</v>
      </c>
      <c r="D5" s="4">
        <v>121700977.86743999</v>
      </c>
      <c r="E5" s="4">
        <v>1564305025.3415797</v>
      </c>
      <c r="F5" s="4">
        <v>1318474.4970099996</v>
      </c>
      <c r="G5" s="4">
        <v>1565623499.8385897</v>
      </c>
      <c r="H5" s="12">
        <v>3.4749018512476804E-2</v>
      </c>
    </row>
    <row r="6" spans="1:8">
      <c r="A6" t="s">
        <v>31</v>
      </c>
      <c r="B6" s="4">
        <v>55330466.694130011</v>
      </c>
      <c r="C6" s="4">
        <v>1431208791.1130197</v>
      </c>
      <c r="D6" s="4">
        <v>124915732.49143001</v>
      </c>
      <c r="E6" s="4">
        <v>1611454990.2985797</v>
      </c>
      <c r="F6" s="4">
        <v>1367165.0341699999</v>
      </c>
      <c r="G6" s="4">
        <v>1612822155.3327496</v>
      </c>
      <c r="H6" s="12">
        <v>3.0099999999999998E-2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tabSelected="1" workbookViewId="0">
      <selection activeCell="F25" sqref="F25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12.75" bestFit="1" customWidth="1"/>
    <col min="9" max="9" width="11.625" customWidth="1"/>
  </cols>
  <sheetData>
    <row r="1" spans="1:6">
      <c r="A1" t="s">
        <v>25</v>
      </c>
      <c r="B1" t="s">
        <v>26</v>
      </c>
      <c r="C1" t="s">
        <v>27</v>
      </c>
      <c r="D1" t="s">
        <v>28</v>
      </c>
      <c r="E1" t="s">
        <v>17</v>
      </c>
      <c r="F1" t="s">
        <v>29</v>
      </c>
    </row>
    <row r="2" spans="1:6">
      <c r="A2" s="5">
        <v>46108</v>
      </c>
      <c r="B2">
        <v>13100</v>
      </c>
      <c r="C2">
        <v>3</v>
      </c>
      <c r="D2">
        <v>13103</v>
      </c>
      <c r="E2">
        <v>-2.681224004753413E-2</v>
      </c>
      <c r="F2" s="13">
        <v>-2.681224004753413E-2</v>
      </c>
    </row>
    <row r="3" spans="1:6">
      <c r="A3" s="5">
        <v>46113</v>
      </c>
      <c r="B3">
        <v>13738</v>
      </c>
      <c r="C3">
        <v>3</v>
      </c>
      <c r="D3">
        <v>13741</v>
      </c>
      <c r="E3">
        <v>4.8691139433717501E-2</v>
      </c>
      <c r="F3" s="13">
        <v>4.8691139433717501E-2</v>
      </c>
    </row>
    <row r="4" spans="1:6">
      <c r="A4" s="5">
        <v>46122</v>
      </c>
      <c r="B4">
        <v>13586</v>
      </c>
      <c r="C4">
        <v>3</v>
      </c>
      <c r="D4">
        <v>13589</v>
      </c>
      <c r="E4">
        <v>-1.1061785896222975E-2</v>
      </c>
      <c r="F4" s="13">
        <v>-1.1061785896222975E-2</v>
      </c>
    </row>
    <row r="5" spans="1:6">
      <c r="A5" s="5">
        <v>46129</v>
      </c>
      <c r="B5">
        <v>13671</v>
      </c>
      <c r="C5">
        <v>3</v>
      </c>
      <c r="D5">
        <v>13674</v>
      </c>
      <c r="E5">
        <v>6.2550592390904214E-3</v>
      </c>
      <c r="F5" s="13">
        <v>6.2550592390904214E-3</v>
      </c>
    </row>
    <row r="6" spans="1:6">
      <c r="A6" s="5">
        <v>46136</v>
      </c>
      <c r="B6">
        <v>13481</v>
      </c>
      <c r="C6">
        <v>3</v>
      </c>
      <c r="D6">
        <v>13484</v>
      </c>
      <c r="E6">
        <v>-1.3894983179757237E-2</v>
      </c>
      <c r="F6" s="13">
        <v>-1.3894983179757237E-2</v>
      </c>
    </row>
    <row r="7" spans="1:6">
      <c r="A7" s="5">
        <v>46139</v>
      </c>
      <c r="B7">
        <v>13457</v>
      </c>
      <c r="C7">
        <v>3</v>
      </c>
      <c r="D7">
        <v>13460</v>
      </c>
      <c r="E7">
        <f>+(D7-D8)/D8</f>
        <v>1.5619105108277371E-2</v>
      </c>
      <c r="F7" s="13">
        <v>-1.3894983179757237E-2</v>
      </c>
    </row>
    <row r="8" spans="1:6">
      <c r="A8" s="5">
        <v>46140</v>
      </c>
      <c r="B8">
        <v>13250</v>
      </c>
      <c r="C8">
        <v>3</v>
      </c>
      <c r="D8">
        <v>13253</v>
      </c>
      <c r="E8">
        <f>+(D8-D9)/D9</f>
        <v>5.0049290968377947E-3</v>
      </c>
      <c r="F8" s="13">
        <v>-1.3894983179757237E-2</v>
      </c>
    </row>
    <row r="9" spans="1:6">
      <c r="A9" s="5">
        <v>46141</v>
      </c>
      <c r="B9">
        <v>13184</v>
      </c>
      <c r="C9">
        <v>3</v>
      </c>
      <c r="D9">
        <v>13187</v>
      </c>
      <c r="E9">
        <f>+(D9-D6)/D6</f>
        <v>-2.2026105013349156E-2</v>
      </c>
      <c r="F9" s="13">
        <v>-1.3894983179757237E-2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Ulises A. Cordido L</cp:lastModifiedBy>
  <dcterms:created xsi:type="dcterms:W3CDTF">2026-04-29T23:27:57Z</dcterms:created>
  <dcterms:modified xsi:type="dcterms:W3CDTF">2026-05-04T16:15:55Z</dcterms:modified>
</cp:coreProperties>
</file>