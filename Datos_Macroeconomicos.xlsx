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/>
  <bookViews>
    <workbookView xWindow="10440" yWindow="135" windowWidth="8595" windowHeight="10080" tabRatio="819"/>
  </bookViews>
  <sheets>
    <sheet name="Tasa Overnight Diaria" sheetId="1" r:id="rId1"/>
    <sheet name="Reservas Bancarias Excedentari" sheetId="2" r:id="rId2"/>
    <sheet name="Tasa Overnight Mensual" sheetId="3" r:id="rId3"/>
    <sheet name="Base Monetaria" sheetId="4" r:id="rId4"/>
    <sheet name="Liquidez Monetaria" sheetId="5" r:id="rId5"/>
    <sheet name="Resev. Internacionales $" sheetId="6" r:id="rId6"/>
  </sheets>
  <calcPr calcId="144525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22" i="6" l="1"/>
  <c r="E21" i="6" l="1"/>
  <c r="E20" i="6" l="1"/>
  <c r="E19" i="6" l="1"/>
  <c r="E18" i="6"/>
  <c r="E2" i="6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D19" i="6"/>
  <c r="C4" i="2" l="1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" i="2"/>
  <c r="C3" i="2"/>
  <c r="C16" i="4" l="1"/>
  <c r="C14" i="4" l="1"/>
  <c r="C15" i="4"/>
  <c r="H3" i="5"/>
  <c r="H4" i="5"/>
  <c r="H5" i="5"/>
  <c r="H6" i="5"/>
</calcChain>
</file>

<file path=xl/sharedStrings.xml><?xml version="1.0" encoding="utf-8"?>
<sst xmlns="http://schemas.openxmlformats.org/spreadsheetml/2006/main" count="39" uniqueCount="31">
  <si>
    <t>DÍA</t>
  </si>
  <si>
    <t xml:space="preserve"> (Millones de Bs. )</t>
  </si>
  <si>
    <t>MÍNIMA a /</t>
  </si>
  <si>
    <t>MÁXIMA a /</t>
  </si>
  <si>
    <t>PROMEDIO b /</t>
  </si>
  <si>
    <t>(Millones de  Bs.)</t>
  </si>
  <si>
    <t>Mes</t>
  </si>
  <si>
    <t>Promedio (Millones de Bs)</t>
  </si>
  <si>
    <t>ENERO</t>
  </si>
  <si>
    <t>FEBRERO</t>
  </si>
  <si>
    <t>MARZO</t>
  </si>
  <si>
    <t>MES</t>
  </si>
  <si>
    <t>Monto Invertido</t>
  </si>
  <si>
    <t>Promedio</t>
  </si>
  <si>
    <t>Prom. Ponderado</t>
  </si>
  <si>
    <t>Fecha</t>
  </si>
  <si>
    <t>MONTO</t>
  </si>
  <si>
    <t>Variación</t>
  </si>
  <si>
    <t>MONEDAS</t>
  </si>
  <si>
    <t>DEPÓSITOS</t>
  </si>
  <si>
    <t xml:space="preserve">DEPÓSITOS DE </t>
  </si>
  <si>
    <t>Monto E</t>
  </si>
  <si>
    <t>mONTOf</t>
  </si>
  <si>
    <t>LIQUIDEZ</t>
  </si>
  <si>
    <t>VARIACIÓN</t>
  </si>
  <si>
    <t>FECHA</t>
  </si>
  <si>
    <t>BCV</t>
  </si>
  <si>
    <t>FIEM / FEM (1)</t>
  </si>
  <si>
    <t>TOTAL (Millones)</t>
  </si>
  <si>
    <t>SEMANAL</t>
  </si>
  <si>
    <t>ABRIL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</si>
</sst>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8">
    <numFmt numFmtId="43" formatCode="_ * #,##0.00_ ;_ * \-#,##0.00_ ;_ * &quot;-&quot;??_ ;_ @_ "/>
    <numFmt numFmtId="164" formatCode="General_)"/>
    <numFmt numFmtId="165" formatCode="#,##0.00;[Red]\(#,##0.00\)"/>
    <numFmt numFmtId="166" formatCode="_-* #,##0.00\ _B_s_-;\-* #,##0.00\ _B_s_-;_-* &quot;-&quot;??\ _B_s_-;_-@_-"/>
    <numFmt numFmtId="167" formatCode="_([$€-2]\ * #,##0.00_);_([$€-2]\ * \(#,##0.00\);_([$€-2]\ * &quot;-&quot;??_)"/>
    <numFmt numFmtId="168" formatCode="_([$€]* #,##0.00_);_([$€]* \(#,##0.00\);_([$€]* &quot;-&quot;??_);_(@_)"/>
    <numFmt numFmtId="169" formatCode="0.00;[Red]0.00"/>
    <numFmt numFmtId="170" formatCode="0.0000"/>
  </numFmts>
  <fonts count="2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name val="Helv"/>
    </font>
    <font>
      <b/>
      <sz val="10"/>
      <name val="Arial"/>
      <family val="2"/>
    </font>
    <font>
      <sz val="10"/>
      <name val="Arial"/>
      <family val="2"/>
    </font>
    <font>
      <sz val="11"/>
      <color theme="0"/>
      <name val="Aptos Narrow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10"/>
      <name val="Calibri"/>
      <family val="2"/>
    </font>
    <font>
      <b/>
      <sz val="11"/>
      <color indexed="9"/>
      <name val="Calibri"/>
      <family val="2"/>
    </font>
    <font>
      <sz val="11"/>
      <color indexed="10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19"/>
      <name val="Calibri"/>
      <family val="2"/>
    </font>
    <font>
      <b/>
      <sz val="11"/>
      <color indexed="63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8"/>
      <name val="Calibri"/>
      <family val="2"/>
    </font>
  </fonts>
  <fills count="2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43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1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49"/>
      </patternFill>
    </fill>
    <fill>
      <patternFill patternType="solid">
        <fgColor indexed="10"/>
      </patternFill>
    </fill>
    <fill>
      <patternFill patternType="solid">
        <fgColor indexed="46"/>
      </patternFill>
    </fill>
    <fill>
      <patternFill patternType="solid">
        <fgColor indexed="9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934">
    <xf numFmtId="0" fontId="0" fillId="0" borderId="0"/>
    <xf numFmtId="9" fontId="1" fillId="0" borderId="0" applyFont="0" applyFill="0" applyBorder="0" applyAlignment="0" applyProtection="0"/>
    <xf numFmtId="164" fontId="2" fillId="0" borderId="0"/>
    <xf numFmtId="164" fontId="2" fillId="0" borderId="0"/>
    <xf numFmtId="0" fontId="6" fillId="12" borderId="0" applyNumberFormat="0" applyBorder="0" applyAlignment="0" applyProtection="0"/>
    <xf numFmtId="0" fontId="1" fillId="4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3" borderId="0" applyNumberFormat="0" applyBorder="0" applyAlignment="0" applyProtection="0"/>
    <xf numFmtId="0" fontId="1" fillId="5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4" borderId="0" applyNumberFormat="0" applyBorder="0" applyAlignment="0" applyProtection="0"/>
    <xf numFmtId="0" fontId="1" fillId="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1" fillId="9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7" borderId="0" applyNumberFormat="0" applyBorder="0" applyAlignment="0" applyProtection="0"/>
    <xf numFmtId="0" fontId="1" fillId="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5" fillId="8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18" borderId="0" applyNumberFormat="0" applyBorder="0" applyAlignment="0" applyProtection="0"/>
    <xf numFmtId="0" fontId="5" fillId="10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3" borderId="0" applyNumberFormat="0" applyBorder="0" applyAlignment="0" applyProtection="0"/>
    <xf numFmtId="0" fontId="5" fillId="11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2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14" borderId="7" applyNumberFormat="0" applyFont="0" applyAlignment="0" applyProtection="0"/>
    <xf numFmtId="0" fontId="1" fillId="3" borderId="3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34">
    <xf numFmtId="0" fontId="0" fillId="0" borderId="0" xfId="0"/>
    <xf numFmtId="4" fontId="0" fillId="0" borderId="0" xfId="0" applyNumberFormat="1"/>
    <xf numFmtId="14" fontId="0" fillId="0" borderId="0" xfId="0" applyNumberFormat="1"/>
    <xf numFmtId="4" fontId="0" fillId="0" borderId="1" xfId="0" applyNumberFormat="1" applyBorder="1" applyAlignment="1">
      <alignment horizontal="center"/>
    </xf>
    <xf numFmtId="4" fontId="0" fillId="0" borderId="2" xfId="1" applyNumberFormat="1" applyFont="1" applyBorder="1" applyAlignment="1">
      <alignment horizontal="center"/>
    </xf>
    <xf numFmtId="165" fontId="3" fillId="0" borderId="0" xfId="0" applyNumberFormat="1" applyFont="1" applyAlignment="1">
      <alignment horizontal="right"/>
    </xf>
    <xf numFmtId="4" fontId="3" fillId="0" borderId="0" xfId="3" applyNumberFormat="1" applyFont="1"/>
    <xf numFmtId="2" fontId="0" fillId="0" borderId="0" xfId="0" applyNumberFormat="1"/>
    <xf numFmtId="169" fontId="0" fillId="0" borderId="0" xfId="0" applyNumberFormat="1"/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3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2" fontId="4" fillId="0" borderId="0" xfId="1" applyNumberFormat="1" applyFont="1" applyFill="1" applyAlignment="1">
      <alignment horizontal="center"/>
    </xf>
    <xf numFmtId="2" fontId="0" fillId="0" borderId="0" xfId="1" applyNumberFormat="1" applyFont="1" applyAlignment="1">
      <alignment horizontal="left"/>
    </xf>
    <xf numFmtId="0" fontId="0" fillId="0" borderId="0" xfId="0"/>
    <xf numFmtId="4" fontId="0" fillId="0" borderId="0" xfId="0" applyNumberFormat="1"/>
    <xf numFmtId="14" fontId="0" fillId="0" borderId="0" xfId="0" applyNumberFormat="1"/>
    <xf numFmtId="14" fontId="4" fillId="2" borderId="0" xfId="0" applyNumberFormat="1" applyFont="1" applyFill="1" applyAlignment="1">
      <alignment horizontal="center"/>
    </xf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/>
    <xf numFmtId="14" fontId="0" fillId="0" borderId="0" xfId="0" applyNumberFormat="1"/>
    <xf numFmtId="0" fontId="0" fillId="0" borderId="0" xfId="0"/>
    <xf numFmtId="14" fontId="0" fillId="0" borderId="0" xfId="0" applyNumberFormat="1"/>
    <xf numFmtId="3" fontId="0" fillId="0" borderId="0" xfId="0" applyNumberFormat="1"/>
    <xf numFmtId="4" fontId="0" fillId="0" borderId="0" xfId="0" applyNumberFormat="1" applyAlignment="1">
      <alignment horizontal="center"/>
    </xf>
    <xf numFmtId="164" fontId="3" fillId="28" borderId="0" xfId="0" applyNumberFormat="1" applyFont="1" applyFill="1" applyBorder="1" applyAlignment="1" applyProtection="1">
      <alignment horizontal="center"/>
    </xf>
    <xf numFmtId="164" fontId="3" fillId="28" borderId="0" xfId="0" applyNumberFormat="1" applyFont="1" applyFill="1" applyBorder="1" applyAlignment="1" applyProtection="1">
      <alignment horizontal="centerContinuous"/>
    </xf>
    <xf numFmtId="9" fontId="0" fillId="0" borderId="0" xfId="1" applyFont="1" applyAlignment="1">
      <alignment horizontal="left"/>
    </xf>
    <xf numFmtId="10" fontId="0" fillId="0" borderId="0" xfId="1" applyNumberFormat="1" applyFont="1" applyAlignment="1">
      <alignment horizontal="center"/>
    </xf>
    <xf numFmtId="170" fontId="0" fillId="0" borderId="0" xfId="0" applyNumberFormat="1" applyAlignment="1">
      <alignment horizontal="center"/>
    </xf>
  </cellXfs>
  <cellStyles count="934">
    <cellStyle name="20% - Énfasis1 2" xfId="4"/>
    <cellStyle name="20% - Énfasis1 2 2" xfId="5"/>
    <cellStyle name="20% - Énfasis1 2 3" xfId="6"/>
    <cellStyle name="20% - Énfasis1 3" xfId="7"/>
    <cellStyle name="20% - Énfasis1 4" xfId="8"/>
    <cellStyle name="20% - Énfasis2 2" xfId="9"/>
    <cellStyle name="20% - Énfasis2 2 2" xfId="10"/>
    <cellStyle name="20% - Énfasis2 2 3" xfId="11"/>
    <cellStyle name="20% - Énfasis2 3" xfId="12"/>
    <cellStyle name="20% - Énfasis2 4" xfId="13"/>
    <cellStyle name="20% - Énfasis3 2" xfId="14"/>
    <cellStyle name="20% - Énfasis3 2 2" xfId="15"/>
    <cellStyle name="20% - Énfasis3 2 3" xfId="16"/>
    <cellStyle name="20% - Énfasis3 3" xfId="17"/>
    <cellStyle name="20% - Énfasis3 4" xfId="18"/>
    <cellStyle name="20% - Énfasis4 2" xfId="19"/>
    <cellStyle name="20% - Énfasis4 2 2" xfId="20"/>
    <cellStyle name="20% - Énfasis4 2 3" xfId="21"/>
    <cellStyle name="20% - Énfasis4 3" xfId="22"/>
    <cellStyle name="20% - Énfasis4 4" xfId="23"/>
    <cellStyle name="20% - Énfasis5 2" xfId="24"/>
    <cellStyle name="20% - Énfasis5 3" xfId="25"/>
    <cellStyle name="20% - Énfasis5 4" xfId="26"/>
    <cellStyle name="20% - Énfasis6 2" xfId="27"/>
    <cellStyle name="20% - Énfasis6 3" xfId="28"/>
    <cellStyle name="20% - Énfasis6 4" xfId="29"/>
    <cellStyle name="40% - Énfasis1 2" xfId="30"/>
    <cellStyle name="40% - Énfasis1 3" xfId="31"/>
    <cellStyle name="40% - Énfasis1 4" xfId="32"/>
    <cellStyle name="40% - Énfasis2 2" xfId="33"/>
    <cellStyle name="40% - Énfasis2 3" xfId="34"/>
    <cellStyle name="40% - Énfasis2 4" xfId="35"/>
    <cellStyle name="40% - Énfasis3 2" xfId="36"/>
    <cellStyle name="40% - Énfasis3 2 2" xfId="37"/>
    <cellStyle name="40% - Énfasis3 2 3" xfId="38"/>
    <cellStyle name="40% - Énfasis3 3" xfId="39"/>
    <cellStyle name="40% - Énfasis3 4" xfId="40"/>
    <cellStyle name="40% - Énfasis4 2" xfId="41"/>
    <cellStyle name="40% - Énfasis4 3" xfId="42"/>
    <cellStyle name="40% - Énfasis4 4" xfId="43"/>
    <cellStyle name="40% - Énfasis5 2" xfId="44"/>
    <cellStyle name="40% - Énfasis5 3" xfId="45"/>
    <cellStyle name="40% - Énfasis5 4" xfId="46"/>
    <cellStyle name="40% - Énfasis6 2" xfId="47"/>
    <cellStyle name="40% - Énfasis6 3" xfId="48"/>
    <cellStyle name="40% - Énfasis6 4" xfId="49"/>
    <cellStyle name="60% - Énfasis1 2" xfId="50"/>
    <cellStyle name="60% - Énfasis1 3" xfId="51"/>
    <cellStyle name="60% - Énfasis1 4" xfId="52"/>
    <cellStyle name="60% - Énfasis2 2" xfId="53"/>
    <cellStyle name="60% - Énfasis2 3" xfId="54"/>
    <cellStyle name="60% - Énfasis2 4" xfId="55"/>
    <cellStyle name="60% - Énfasis3 2" xfId="56"/>
    <cellStyle name="60% - Énfasis3 2 2" xfId="57"/>
    <cellStyle name="60% - Énfasis3 2 3" xfId="58"/>
    <cellStyle name="60% - Énfasis3 3" xfId="59"/>
    <cellStyle name="60% - Énfasis3 4" xfId="60"/>
    <cellStyle name="60% - Énfasis4 2" xfId="61"/>
    <cellStyle name="60% - Énfasis4 2 2" xfId="62"/>
    <cellStyle name="60% - Énfasis4 2 3" xfId="63"/>
    <cellStyle name="60% - Énfasis4 3" xfId="64"/>
    <cellStyle name="60% - Énfasis4 4" xfId="65"/>
    <cellStyle name="60% - Énfasis5 2" xfId="66"/>
    <cellStyle name="60% - Énfasis5 3" xfId="67"/>
    <cellStyle name="60% - Énfasis5 4" xfId="68"/>
    <cellStyle name="60% - Énfasis6 2" xfId="69"/>
    <cellStyle name="60% - Énfasis6 2 2" xfId="70"/>
    <cellStyle name="60% - Énfasis6 2 3" xfId="71"/>
    <cellStyle name="60% - Énfasis6 3" xfId="72"/>
    <cellStyle name="60% - Énfasis6 4" xfId="73"/>
    <cellStyle name="Buena 2" xfId="74"/>
    <cellStyle name="Buena 3" xfId="75"/>
    <cellStyle name="Buena 4" xfId="76"/>
    <cellStyle name="Cálculo 2" xfId="77"/>
    <cellStyle name="Cálculo 3" xfId="78"/>
    <cellStyle name="Cálculo 4" xfId="79"/>
    <cellStyle name="Celda de comprobación 2" xfId="80"/>
    <cellStyle name="Celda de comprobación 3" xfId="81"/>
    <cellStyle name="Celda de comprobación 4" xfId="82"/>
    <cellStyle name="Celda vinculada 2" xfId="83"/>
    <cellStyle name="Celda vinculada 3" xfId="84"/>
    <cellStyle name="Celda vinculada 4" xfId="85"/>
    <cellStyle name="Comma 2" xfId="121"/>
    <cellStyle name="Encabezado 4 2" xfId="86"/>
    <cellStyle name="Encabezado 4 3" xfId="87"/>
    <cellStyle name="Encabezado 4 4" xfId="88"/>
    <cellStyle name="Énfasis1 2" xfId="89"/>
    <cellStyle name="Énfasis1 3" xfId="90"/>
    <cellStyle name="Énfasis1 4" xfId="91"/>
    <cellStyle name="Énfasis2 2" xfId="92"/>
    <cellStyle name="Énfasis2 3" xfId="93"/>
    <cellStyle name="Énfasis2 4" xfId="94"/>
    <cellStyle name="Énfasis3 2" xfId="95"/>
    <cellStyle name="Énfasis3 3" xfId="96"/>
    <cellStyle name="Énfasis3 4" xfId="97"/>
    <cellStyle name="Énfasis4 2" xfId="98"/>
    <cellStyle name="Énfasis4 3" xfId="99"/>
    <cellStyle name="Énfasis4 4" xfId="100"/>
    <cellStyle name="Énfasis5 2" xfId="101"/>
    <cellStyle name="Énfasis5 3" xfId="102"/>
    <cellStyle name="Énfasis5 4" xfId="103"/>
    <cellStyle name="Énfasis6 2" xfId="104"/>
    <cellStyle name="Énfasis6 3" xfId="105"/>
    <cellStyle name="Énfasis6 4" xfId="106"/>
    <cellStyle name="Entrada 2" xfId="107"/>
    <cellStyle name="Entrada 3" xfId="108"/>
    <cellStyle name="Entrada 4" xfId="109"/>
    <cellStyle name="Euro" xfId="110"/>
    <cellStyle name="Euro 2" xfId="111"/>
    <cellStyle name="Euro 2 2" xfId="112"/>
    <cellStyle name="Euro 2 3" xfId="113"/>
    <cellStyle name="Euro 2 4" xfId="114"/>
    <cellStyle name="Euro 3" xfId="115"/>
    <cellStyle name="Euro 4" xfId="116"/>
    <cellStyle name="Euro 5" xfId="117"/>
    <cellStyle name="Incorrecto 2" xfId="118"/>
    <cellStyle name="Incorrecto 3" xfId="119"/>
    <cellStyle name="Incorrecto 4" xfId="120"/>
    <cellStyle name="Millares 10" xfId="122"/>
    <cellStyle name="Millares 10 2" xfId="810"/>
    <cellStyle name="Millares 2" xfId="123"/>
    <cellStyle name="Millares 2 2" xfId="124"/>
    <cellStyle name="Millares 2 2 2" xfId="125"/>
    <cellStyle name="Millares 2 2 2 2" xfId="813"/>
    <cellStyle name="Millares 2 2 3" xfId="812"/>
    <cellStyle name="Millares 2 3" xfId="126"/>
    <cellStyle name="Millares 2 3 2" xfId="814"/>
    <cellStyle name="Millares 2 4" xfId="127"/>
    <cellStyle name="Millares 2 4 2" xfId="815"/>
    <cellStyle name="Millares 2 5" xfId="811"/>
    <cellStyle name="Millares 3" xfId="128"/>
    <cellStyle name="Millares 3 10" xfId="129"/>
    <cellStyle name="Millares 3 10 2" xfId="817"/>
    <cellStyle name="Millares 3 100" xfId="130"/>
    <cellStyle name="Millares 3 100 2" xfId="818"/>
    <cellStyle name="Millares 3 101" xfId="131"/>
    <cellStyle name="Millares 3 101 2" xfId="819"/>
    <cellStyle name="Millares 3 102" xfId="132"/>
    <cellStyle name="Millares 3 102 2" xfId="820"/>
    <cellStyle name="Millares 3 103" xfId="133"/>
    <cellStyle name="Millares 3 103 2" xfId="134"/>
    <cellStyle name="Millares 3 103 2 2" xfId="135"/>
    <cellStyle name="Millares 3 103 2 2 2" xfId="823"/>
    <cellStyle name="Millares 3 103 2 3" xfId="822"/>
    <cellStyle name="Millares 3 103 3" xfId="821"/>
    <cellStyle name="Millares 3 104" xfId="136"/>
    <cellStyle name="Millares 3 104 2" xfId="824"/>
    <cellStyle name="Millares 3 105" xfId="816"/>
    <cellStyle name="Millares 3 11" xfId="137"/>
    <cellStyle name="Millares 3 11 2" xfId="825"/>
    <cellStyle name="Millares 3 12" xfId="138"/>
    <cellStyle name="Millares 3 12 2" xfId="826"/>
    <cellStyle name="Millares 3 13" xfId="139"/>
    <cellStyle name="Millares 3 13 2" xfId="827"/>
    <cellStyle name="Millares 3 14" xfId="140"/>
    <cellStyle name="Millares 3 14 2" xfId="828"/>
    <cellStyle name="Millares 3 15" xfId="141"/>
    <cellStyle name="Millares 3 15 2" xfId="829"/>
    <cellStyle name="Millares 3 16" xfId="142"/>
    <cellStyle name="Millares 3 16 2" xfId="830"/>
    <cellStyle name="Millares 3 17" xfId="143"/>
    <cellStyle name="Millares 3 17 2" xfId="831"/>
    <cellStyle name="Millares 3 18" xfId="144"/>
    <cellStyle name="Millares 3 18 2" xfId="832"/>
    <cellStyle name="Millares 3 19" xfId="145"/>
    <cellStyle name="Millares 3 19 2" xfId="833"/>
    <cellStyle name="Millares 3 2" xfId="146"/>
    <cellStyle name="Millares 3 2 2" xfId="147"/>
    <cellStyle name="Millares 3 2 2 2" xfId="835"/>
    <cellStyle name="Millares 3 2 3" xfId="148"/>
    <cellStyle name="Millares 3 2 3 2" xfId="836"/>
    <cellStyle name="Millares 3 2 4" xfId="834"/>
    <cellStyle name="Millares 3 20" xfId="149"/>
    <cellStyle name="Millares 3 20 2" xfId="837"/>
    <cellStyle name="Millares 3 21" xfId="150"/>
    <cellStyle name="Millares 3 21 2" xfId="838"/>
    <cellStyle name="Millares 3 22" xfId="151"/>
    <cellStyle name="Millares 3 22 2" xfId="839"/>
    <cellStyle name="Millares 3 23" xfId="152"/>
    <cellStyle name="Millares 3 23 2" xfId="840"/>
    <cellStyle name="Millares 3 24" xfId="153"/>
    <cellStyle name="Millares 3 24 2" xfId="841"/>
    <cellStyle name="Millares 3 25" xfId="154"/>
    <cellStyle name="Millares 3 25 2" xfId="842"/>
    <cellStyle name="Millares 3 26" xfId="155"/>
    <cellStyle name="Millares 3 26 2" xfId="843"/>
    <cellStyle name="Millares 3 27" xfId="156"/>
    <cellStyle name="Millares 3 27 2" xfId="844"/>
    <cellStyle name="Millares 3 28" xfId="157"/>
    <cellStyle name="Millares 3 28 2" xfId="845"/>
    <cellStyle name="Millares 3 29" xfId="158"/>
    <cellStyle name="Millares 3 29 2" xfId="846"/>
    <cellStyle name="Millares 3 3" xfId="159"/>
    <cellStyle name="Millares 3 3 2" xfId="847"/>
    <cellStyle name="Millares 3 30" xfId="160"/>
    <cellStyle name="Millares 3 30 2" xfId="848"/>
    <cellStyle name="Millares 3 31" xfId="161"/>
    <cellStyle name="Millares 3 31 2" xfId="849"/>
    <cellStyle name="Millares 3 32" xfId="162"/>
    <cellStyle name="Millares 3 32 2" xfId="850"/>
    <cellStyle name="Millares 3 33" xfId="163"/>
    <cellStyle name="Millares 3 33 2" xfId="851"/>
    <cellStyle name="Millares 3 34" xfId="164"/>
    <cellStyle name="Millares 3 34 2" xfId="852"/>
    <cellStyle name="Millares 3 35" xfId="165"/>
    <cellStyle name="Millares 3 35 2" xfId="853"/>
    <cellStyle name="Millares 3 36" xfId="166"/>
    <cellStyle name="Millares 3 36 2" xfId="854"/>
    <cellStyle name="Millares 3 37" xfId="167"/>
    <cellStyle name="Millares 3 37 2" xfId="855"/>
    <cellStyle name="Millares 3 38" xfId="168"/>
    <cellStyle name="Millares 3 38 2" xfId="856"/>
    <cellStyle name="Millares 3 39" xfId="169"/>
    <cellStyle name="Millares 3 39 2" xfId="857"/>
    <cellStyle name="Millares 3 4" xfId="170"/>
    <cellStyle name="Millares 3 4 2" xfId="858"/>
    <cellStyle name="Millares 3 40" xfId="171"/>
    <cellStyle name="Millares 3 40 2" xfId="859"/>
    <cellStyle name="Millares 3 41" xfId="172"/>
    <cellStyle name="Millares 3 41 2" xfId="860"/>
    <cellStyle name="Millares 3 42" xfId="173"/>
    <cellStyle name="Millares 3 42 2" xfId="861"/>
    <cellStyle name="Millares 3 43" xfId="174"/>
    <cellStyle name="Millares 3 43 2" xfId="862"/>
    <cellStyle name="Millares 3 44" xfId="175"/>
    <cellStyle name="Millares 3 44 2" xfId="863"/>
    <cellStyle name="Millares 3 45" xfId="176"/>
    <cellStyle name="Millares 3 45 2" xfId="864"/>
    <cellStyle name="Millares 3 46" xfId="177"/>
    <cellStyle name="Millares 3 46 2" xfId="865"/>
    <cellStyle name="Millares 3 47" xfId="178"/>
    <cellStyle name="Millares 3 47 2" xfId="866"/>
    <cellStyle name="Millares 3 48" xfId="179"/>
    <cellStyle name="Millares 3 48 2" xfId="867"/>
    <cellStyle name="Millares 3 49" xfId="180"/>
    <cellStyle name="Millares 3 49 2" xfId="868"/>
    <cellStyle name="Millares 3 5" xfId="181"/>
    <cellStyle name="Millares 3 5 2" xfId="869"/>
    <cellStyle name="Millares 3 50" xfId="182"/>
    <cellStyle name="Millares 3 50 2" xfId="870"/>
    <cellStyle name="Millares 3 51" xfId="183"/>
    <cellStyle name="Millares 3 51 2" xfId="871"/>
    <cellStyle name="Millares 3 52" xfId="184"/>
    <cellStyle name="Millares 3 52 2" xfId="872"/>
    <cellStyle name="Millares 3 53" xfId="185"/>
    <cellStyle name="Millares 3 53 2" xfId="873"/>
    <cellStyle name="Millares 3 54" xfId="186"/>
    <cellStyle name="Millares 3 54 2" xfId="874"/>
    <cellStyle name="Millares 3 55" xfId="187"/>
    <cellStyle name="Millares 3 55 2" xfId="875"/>
    <cellStyle name="Millares 3 56" xfId="188"/>
    <cellStyle name="Millares 3 56 2" xfId="876"/>
    <cellStyle name="Millares 3 57" xfId="189"/>
    <cellStyle name="Millares 3 57 2" xfId="877"/>
    <cellStyle name="Millares 3 58" xfId="190"/>
    <cellStyle name="Millares 3 58 2" xfId="878"/>
    <cellStyle name="Millares 3 59" xfId="191"/>
    <cellStyle name="Millares 3 59 2" xfId="879"/>
    <cellStyle name="Millares 3 6" xfId="192"/>
    <cellStyle name="Millares 3 6 2" xfId="880"/>
    <cellStyle name="Millares 3 60" xfId="193"/>
    <cellStyle name="Millares 3 60 2" xfId="881"/>
    <cellStyle name="Millares 3 61" xfId="194"/>
    <cellStyle name="Millares 3 61 2" xfId="882"/>
    <cellStyle name="Millares 3 62" xfId="195"/>
    <cellStyle name="Millares 3 62 2" xfId="883"/>
    <cellStyle name="Millares 3 63" xfId="196"/>
    <cellStyle name="Millares 3 63 2" xfId="884"/>
    <cellStyle name="Millares 3 64" xfId="197"/>
    <cellStyle name="Millares 3 64 2" xfId="885"/>
    <cellStyle name="Millares 3 65" xfId="198"/>
    <cellStyle name="Millares 3 65 2" xfId="886"/>
    <cellStyle name="Millares 3 66" xfId="199"/>
    <cellStyle name="Millares 3 66 2" xfId="887"/>
    <cellStyle name="Millares 3 67" xfId="200"/>
    <cellStyle name="Millares 3 67 2" xfId="888"/>
    <cellStyle name="Millares 3 68" xfId="201"/>
    <cellStyle name="Millares 3 68 2" xfId="889"/>
    <cellStyle name="Millares 3 69" xfId="202"/>
    <cellStyle name="Millares 3 69 2" xfId="890"/>
    <cellStyle name="Millares 3 7" xfId="203"/>
    <cellStyle name="Millares 3 7 2" xfId="891"/>
    <cellStyle name="Millares 3 70" xfId="204"/>
    <cellStyle name="Millares 3 70 2" xfId="892"/>
    <cellStyle name="Millares 3 71" xfId="205"/>
    <cellStyle name="Millares 3 71 2" xfId="893"/>
    <cellStyle name="Millares 3 72" xfId="206"/>
    <cellStyle name="Millares 3 72 2" xfId="894"/>
    <cellStyle name="Millares 3 73" xfId="207"/>
    <cellStyle name="Millares 3 73 2" xfId="895"/>
    <cellStyle name="Millares 3 74" xfId="208"/>
    <cellStyle name="Millares 3 74 2" xfId="896"/>
    <cellStyle name="Millares 3 75" xfId="209"/>
    <cellStyle name="Millares 3 75 2" xfId="897"/>
    <cellStyle name="Millares 3 76" xfId="210"/>
    <cellStyle name="Millares 3 76 2" xfId="898"/>
    <cellStyle name="Millares 3 77" xfId="211"/>
    <cellStyle name="Millares 3 77 2" xfId="899"/>
    <cellStyle name="Millares 3 78" xfId="212"/>
    <cellStyle name="Millares 3 78 2" xfId="900"/>
    <cellStyle name="Millares 3 79" xfId="213"/>
    <cellStyle name="Millares 3 79 2" xfId="901"/>
    <cellStyle name="Millares 3 8" xfId="214"/>
    <cellStyle name="Millares 3 8 2" xfId="902"/>
    <cellStyle name="Millares 3 80" xfId="215"/>
    <cellStyle name="Millares 3 80 2" xfId="903"/>
    <cellStyle name="Millares 3 81" xfId="216"/>
    <cellStyle name="Millares 3 81 2" xfId="904"/>
    <cellStyle name="Millares 3 82" xfId="217"/>
    <cellStyle name="Millares 3 82 2" xfId="905"/>
    <cellStyle name="Millares 3 83" xfId="218"/>
    <cellStyle name="Millares 3 83 2" xfId="906"/>
    <cellStyle name="Millares 3 84" xfId="219"/>
    <cellStyle name="Millares 3 84 2" xfId="907"/>
    <cellStyle name="Millares 3 85" xfId="220"/>
    <cellStyle name="Millares 3 85 2" xfId="908"/>
    <cellStyle name="Millares 3 86" xfId="221"/>
    <cellStyle name="Millares 3 86 2" xfId="909"/>
    <cellStyle name="Millares 3 87" xfId="222"/>
    <cellStyle name="Millares 3 87 2" xfId="910"/>
    <cellStyle name="Millares 3 88" xfId="223"/>
    <cellStyle name="Millares 3 88 2" xfId="911"/>
    <cellStyle name="Millares 3 89" xfId="224"/>
    <cellStyle name="Millares 3 89 2" xfId="912"/>
    <cellStyle name="Millares 3 9" xfId="225"/>
    <cellStyle name="Millares 3 9 2" xfId="913"/>
    <cellStyle name="Millares 3 90" xfId="226"/>
    <cellStyle name="Millares 3 90 2" xfId="914"/>
    <cellStyle name="Millares 3 91" xfId="227"/>
    <cellStyle name="Millares 3 91 2" xfId="915"/>
    <cellStyle name="Millares 3 92" xfId="228"/>
    <cellStyle name="Millares 3 92 2" xfId="916"/>
    <cellStyle name="Millares 3 93" xfId="229"/>
    <cellStyle name="Millares 3 93 2" xfId="917"/>
    <cellStyle name="Millares 3 94" xfId="230"/>
    <cellStyle name="Millares 3 94 2" xfId="918"/>
    <cellStyle name="Millares 3 95" xfId="231"/>
    <cellStyle name="Millares 3 95 2" xfId="919"/>
    <cellStyle name="Millares 3 96" xfId="232"/>
    <cellStyle name="Millares 3 96 2" xfId="920"/>
    <cellStyle name="Millares 3 97" xfId="233"/>
    <cellStyle name="Millares 3 97 2" xfId="921"/>
    <cellStyle name="Millares 3 98" xfId="234"/>
    <cellStyle name="Millares 3 98 2" xfId="922"/>
    <cellStyle name="Millares 3 99" xfId="235"/>
    <cellStyle name="Millares 3 99 2" xfId="923"/>
    <cellStyle name="Millares 4" xfId="236"/>
    <cellStyle name="Millares 4 2" xfId="237"/>
    <cellStyle name="Millares 4 2 2" xfId="925"/>
    <cellStyle name="Millares 4 3" xfId="924"/>
    <cellStyle name="Millares 5" xfId="238"/>
    <cellStyle name="Millares 5 2" xfId="239"/>
    <cellStyle name="Millares 5 2 2" xfId="927"/>
    <cellStyle name="Millares 5 3" xfId="240"/>
    <cellStyle name="Millares 5 3 2" xfId="928"/>
    <cellStyle name="Millares 5 4" xfId="926"/>
    <cellStyle name="Millares 6" xfId="241"/>
    <cellStyle name="Millares 6 2" xfId="242"/>
    <cellStyle name="Millares 6 2 2" xfId="929"/>
    <cellStyle name="Millares 6 3" xfId="243"/>
    <cellStyle name="Millares 7" xfId="244"/>
    <cellStyle name="Millares 7 2" xfId="930"/>
    <cellStyle name="Millares 8" xfId="245"/>
    <cellStyle name="Millares 8 2" xfId="246"/>
    <cellStyle name="Millares 8 2 2" xfId="932"/>
    <cellStyle name="Millares 8 3" xfId="931"/>
    <cellStyle name="Millares 9" xfId="247"/>
    <cellStyle name="Millares 9 2" xfId="933"/>
    <cellStyle name="Neutral 2" xfId="249"/>
    <cellStyle name="Neutral 3" xfId="250"/>
    <cellStyle name="Neutral 4" xfId="251"/>
    <cellStyle name="Neutral 5" xfId="248"/>
    <cellStyle name="NivelFila_3 2" xfId="809"/>
    <cellStyle name="Normal" xfId="0" builtinId="0"/>
    <cellStyle name="Normal 10" xfId="252"/>
    <cellStyle name="Normal 10 2" xfId="253"/>
    <cellStyle name="Normal 10 3" xfId="254"/>
    <cellStyle name="Normal 10 4" xfId="255"/>
    <cellStyle name="Normal 100" xfId="256"/>
    <cellStyle name="Normal 100 2" xfId="257"/>
    <cellStyle name="Normal 101" xfId="258"/>
    <cellStyle name="Normal 101 2" xfId="259"/>
    <cellStyle name="Normal 102" xfId="260"/>
    <cellStyle name="Normal 102 2" xfId="261"/>
    <cellStyle name="Normal 103" xfId="262"/>
    <cellStyle name="Normal 103 2" xfId="263"/>
    <cellStyle name="Normal 104" xfId="264"/>
    <cellStyle name="Normal 104 2" xfId="265"/>
    <cellStyle name="Normal 104 3" xfId="266"/>
    <cellStyle name="Normal 105" xfId="267"/>
    <cellStyle name="Normal 106" xfId="268"/>
    <cellStyle name="Normal 106 2" xfId="269"/>
    <cellStyle name="Normal 106 3" xfId="270"/>
    <cellStyle name="Normal 107" xfId="271"/>
    <cellStyle name="Normal 107 2" xfId="272"/>
    <cellStyle name="Normal 108" xfId="273"/>
    <cellStyle name="Normal 109" xfId="274"/>
    <cellStyle name="Normal 11" xfId="275"/>
    <cellStyle name="Normal 11 2" xfId="276"/>
    <cellStyle name="Normal 11 3" xfId="277"/>
    <cellStyle name="Normal 11 4" xfId="278"/>
    <cellStyle name="Normal 110" xfId="279"/>
    <cellStyle name="Normal 111" xfId="280"/>
    <cellStyle name="Normal 112" xfId="281"/>
    <cellStyle name="Normal 112 2" xfId="282"/>
    <cellStyle name="Normal 113" xfId="283"/>
    <cellStyle name="Normal 113 2" xfId="284"/>
    <cellStyle name="Normal 114" xfId="285"/>
    <cellStyle name="Normal 114 2" xfId="286"/>
    <cellStyle name="Normal 115" xfId="287"/>
    <cellStyle name="Normal 115 2" xfId="288"/>
    <cellStyle name="Normal 116" xfId="289"/>
    <cellStyle name="Normal 116 2" xfId="290"/>
    <cellStyle name="Normal 116 3" xfId="291"/>
    <cellStyle name="Normal 117" xfId="292"/>
    <cellStyle name="Normal 117 2" xfId="293"/>
    <cellStyle name="Normal 118" xfId="294"/>
    <cellStyle name="Normal 118 2" xfId="295"/>
    <cellStyle name="Normal 118 3" xfId="296"/>
    <cellStyle name="Normal 119" xfId="297"/>
    <cellStyle name="Normal 119 2" xfId="298"/>
    <cellStyle name="Normal 119 3" xfId="299"/>
    <cellStyle name="Normal 12" xfId="300"/>
    <cellStyle name="Normal 12 2" xfId="301"/>
    <cellStyle name="Normal 12 3" xfId="302"/>
    <cellStyle name="Normal 12 4" xfId="303"/>
    <cellStyle name="Normal 120" xfId="304"/>
    <cellStyle name="Normal 120 2" xfId="305"/>
    <cellStyle name="Normal 121" xfId="306"/>
    <cellStyle name="Normal 121 2" xfId="307"/>
    <cellStyle name="Normal 122" xfId="308"/>
    <cellStyle name="Normal 122 2" xfId="309"/>
    <cellStyle name="Normal 123" xfId="310"/>
    <cellStyle name="Normal 124" xfId="311"/>
    <cellStyle name="Normal 124 2" xfId="312"/>
    <cellStyle name="Normal 125" xfId="313"/>
    <cellStyle name="Normal 125 2" xfId="314"/>
    <cellStyle name="Normal 126" xfId="315"/>
    <cellStyle name="Normal 127" xfId="316"/>
    <cellStyle name="Normal 127 2" xfId="317"/>
    <cellStyle name="Normal 128" xfId="318"/>
    <cellStyle name="Normal 129" xfId="319"/>
    <cellStyle name="Normal 13" xfId="320"/>
    <cellStyle name="Normal 13 2" xfId="321"/>
    <cellStyle name="Normal 13 3" xfId="322"/>
    <cellStyle name="Normal 13 4" xfId="323"/>
    <cellStyle name="Normal 130" xfId="324"/>
    <cellStyle name="Normal 130 2" xfId="325"/>
    <cellStyle name="Normal 131" xfId="326"/>
    <cellStyle name="Normal 131 2" xfId="327"/>
    <cellStyle name="Normal 132" xfId="328"/>
    <cellStyle name="Normal 132 2" xfId="329"/>
    <cellStyle name="Normal 133" xfId="330"/>
    <cellStyle name="Normal 133 2" xfId="331"/>
    <cellStyle name="Normal 134" xfId="332"/>
    <cellStyle name="Normal 135" xfId="333"/>
    <cellStyle name="Normal 135 2" xfId="334"/>
    <cellStyle name="Normal 136" xfId="335"/>
    <cellStyle name="Normal 136 2" xfId="336"/>
    <cellStyle name="Normal 137" xfId="337"/>
    <cellStyle name="Normal 137 2" xfId="338"/>
    <cellStyle name="Normal 138" xfId="339"/>
    <cellStyle name="Normal 138 2" xfId="340"/>
    <cellStyle name="Normal 139" xfId="341"/>
    <cellStyle name="Normal 139 2" xfId="342"/>
    <cellStyle name="Normal 14" xfId="343"/>
    <cellStyle name="Normal 14 2" xfId="344"/>
    <cellStyle name="Normal 14 3" xfId="345"/>
    <cellStyle name="Normal 14 4" xfId="346"/>
    <cellStyle name="Normal 140" xfId="347"/>
    <cellStyle name="Normal 140 2" xfId="348"/>
    <cellStyle name="Normal 141" xfId="349"/>
    <cellStyle name="Normal 142" xfId="350"/>
    <cellStyle name="Normal 142 2" xfId="351"/>
    <cellStyle name="Normal 143" xfId="352"/>
    <cellStyle name="Normal 143 2" xfId="353"/>
    <cellStyle name="Normal 143 3" xfId="354"/>
    <cellStyle name="Normal 144" xfId="355"/>
    <cellStyle name="Normal 144 2" xfId="356"/>
    <cellStyle name="Normal 145" xfId="357"/>
    <cellStyle name="Normal 145 2" xfId="358"/>
    <cellStyle name="Normal 146" xfId="359"/>
    <cellStyle name="Normal 147" xfId="360"/>
    <cellStyle name="Normal 15" xfId="361"/>
    <cellStyle name="Normal 15 2" xfId="362"/>
    <cellStyle name="Normal 15 3" xfId="363"/>
    <cellStyle name="Normal 15 4" xfId="364"/>
    <cellStyle name="Normal 16" xfId="365"/>
    <cellStyle name="Normal 16 2" xfId="366"/>
    <cellStyle name="Normal 16 3" xfId="367"/>
    <cellStyle name="Normal 16 4" xfId="368"/>
    <cellStyle name="Normal 17" xfId="369"/>
    <cellStyle name="Normal 17 2" xfId="370"/>
    <cellStyle name="Normal 17 3" xfId="371"/>
    <cellStyle name="Normal 17 4" xfId="372"/>
    <cellStyle name="Normal 18" xfId="373"/>
    <cellStyle name="Normal 18 2" xfId="374"/>
    <cellStyle name="Normal 18 3" xfId="375"/>
    <cellStyle name="Normal 18 4" xfId="376"/>
    <cellStyle name="Normal 19" xfId="377"/>
    <cellStyle name="Normal 19 2" xfId="378"/>
    <cellStyle name="Normal 19 3" xfId="379"/>
    <cellStyle name="Normal 19 4" xfId="380"/>
    <cellStyle name="Normal 2" xfId="381"/>
    <cellStyle name="Normal 2 10" xfId="382"/>
    <cellStyle name="Normal 2 100" xfId="383"/>
    <cellStyle name="Normal 2 101" xfId="384"/>
    <cellStyle name="Normal 2 102" xfId="385"/>
    <cellStyle name="Normal 2 103" xfId="386"/>
    <cellStyle name="Normal 2 103 2" xfId="387"/>
    <cellStyle name="Normal 2 103 2 2" xfId="388"/>
    <cellStyle name="Normal 2 104" xfId="389"/>
    <cellStyle name="Normal 2 104 2" xfId="390"/>
    <cellStyle name="Normal 2 105" xfId="391"/>
    <cellStyle name="Normal 2 105 2" xfId="392"/>
    <cellStyle name="Normal 2 106" xfId="393"/>
    <cellStyle name="Normal 2 106 2" xfId="394"/>
    <cellStyle name="Normal 2 106 3" xfId="395"/>
    <cellStyle name="Normal 2 107" xfId="396"/>
    <cellStyle name="Normal 2 107 2" xfId="397"/>
    <cellStyle name="Normal 2 108" xfId="398"/>
    <cellStyle name="Normal 2 108 2" xfId="399"/>
    <cellStyle name="Normal 2 109" xfId="400"/>
    <cellStyle name="Normal 2 109 2" xfId="401"/>
    <cellStyle name="Normal 2 11" xfId="402"/>
    <cellStyle name="Normal 2 110" xfId="403"/>
    <cellStyle name="Normal 2 111" xfId="404"/>
    <cellStyle name="Normal 2 112" xfId="405"/>
    <cellStyle name="Normal 2 113" xfId="406"/>
    <cellStyle name="Normal 2 114" xfId="407"/>
    <cellStyle name="Normal 2 115" xfId="408"/>
    <cellStyle name="Normal 2 12" xfId="409"/>
    <cellStyle name="Normal 2 13" xfId="410"/>
    <cellStyle name="Normal 2 14" xfId="411"/>
    <cellStyle name="Normal 2 15" xfId="412"/>
    <cellStyle name="Normal 2 16" xfId="413"/>
    <cellStyle name="Normal 2 17" xfId="414"/>
    <cellStyle name="Normal 2 18" xfId="415"/>
    <cellStyle name="Normal 2 19" xfId="416"/>
    <cellStyle name="Normal 2 2" xfId="417"/>
    <cellStyle name="Normal 2 2 2" xfId="418"/>
    <cellStyle name="Normal 2 2 2 2" xfId="419"/>
    <cellStyle name="Normal 2 2 3" xfId="420"/>
    <cellStyle name="Normal 2 2 4" xfId="421"/>
    <cellStyle name="Normal 2 20" xfId="422"/>
    <cellStyle name="Normal 2 21" xfId="423"/>
    <cellStyle name="Normal 2 22" xfId="424"/>
    <cellStyle name="Normal 2 23" xfId="425"/>
    <cellStyle name="Normal 2 24" xfId="426"/>
    <cellStyle name="Normal 2 25" xfId="427"/>
    <cellStyle name="Normal 2 26" xfId="428"/>
    <cellStyle name="Normal 2 27" xfId="429"/>
    <cellStyle name="Normal 2 28" xfId="430"/>
    <cellStyle name="Normal 2 29" xfId="431"/>
    <cellStyle name="Normal 2 3" xfId="432"/>
    <cellStyle name="Normal 2 3 2" xfId="433"/>
    <cellStyle name="Normal 2 3 3" xfId="434"/>
    <cellStyle name="Normal 2 30" xfId="435"/>
    <cellStyle name="Normal 2 31" xfId="436"/>
    <cellStyle name="Normal 2 32" xfId="437"/>
    <cellStyle name="Normal 2 33" xfId="438"/>
    <cellStyle name="Normal 2 34" xfId="439"/>
    <cellStyle name="Normal 2 35" xfId="440"/>
    <cellStyle name="Normal 2 36" xfId="441"/>
    <cellStyle name="Normal 2 37" xfId="442"/>
    <cellStyle name="Normal 2 38" xfId="443"/>
    <cellStyle name="Normal 2 39" xfId="444"/>
    <cellStyle name="Normal 2 4" xfId="445"/>
    <cellStyle name="Normal 2 4 2" xfId="446"/>
    <cellStyle name="Normal 2 4 3" xfId="447"/>
    <cellStyle name="Normal 2 4 4" xfId="448"/>
    <cellStyle name="Normal 2 40" xfId="449"/>
    <cellStyle name="Normal 2 41" xfId="450"/>
    <cellStyle name="Normal 2 42" xfId="451"/>
    <cellStyle name="Normal 2 43" xfId="452"/>
    <cellStyle name="Normal 2 44" xfId="453"/>
    <cellStyle name="Normal 2 45" xfId="454"/>
    <cellStyle name="Normal 2 45 10" xfId="455"/>
    <cellStyle name="Normal 2 45 11" xfId="456"/>
    <cellStyle name="Normal 2 45 12" xfId="457"/>
    <cellStyle name="Normal 2 45 13" xfId="458"/>
    <cellStyle name="Normal 2 45 14" xfId="459"/>
    <cellStyle name="Normal 2 45 15" xfId="460"/>
    <cellStyle name="Normal 2 45 16" xfId="461"/>
    <cellStyle name="Normal 2 45 17" xfId="462"/>
    <cellStyle name="Normal 2 45 18" xfId="463"/>
    <cellStyle name="Normal 2 45 19" xfId="464"/>
    <cellStyle name="Normal 2 45 2" xfId="465"/>
    <cellStyle name="Normal 2 45 20" xfId="466"/>
    <cellStyle name="Normal 2 45 21" xfId="467"/>
    <cellStyle name="Normal 2 45 22" xfId="468"/>
    <cellStyle name="Normal 2 45 23" xfId="469"/>
    <cellStyle name="Normal 2 45 24" xfId="470"/>
    <cellStyle name="Normal 2 45 25" xfId="471"/>
    <cellStyle name="Normal 2 45 26" xfId="472"/>
    <cellStyle name="Normal 2 45 27" xfId="473"/>
    <cellStyle name="Normal 2 45 28" xfId="474"/>
    <cellStyle name="Normal 2 45 29" xfId="475"/>
    <cellStyle name="Normal 2 45 3" xfId="476"/>
    <cellStyle name="Normal 2 45 30" xfId="477"/>
    <cellStyle name="Normal 2 45 31" xfId="478"/>
    <cellStyle name="Normal 2 45 32" xfId="479"/>
    <cellStyle name="Normal 2 45 33" xfId="480"/>
    <cellStyle name="Normal 2 45 34" xfId="481"/>
    <cellStyle name="Normal 2 45 35" xfId="482"/>
    <cellStyle name="Normal 2 45 36" xfId="483"/>
    <cellStyle name="Normal 2 45 37" xfId="484"/>
    <cellStyle name="Normal 2 45 38" xfId="485"/>
    <cellStyle name="Normal 2 45 39" xfId="486"/>
    <cellStyle name="Normal 2 45 4" xfId="487"/>
    <cellStyle name="Normal 2 45 40" xfId="488"/>
    <cellStyle name="Normal 2 45 41" xfId="489"/>
    <cellStyle name="Normal 2 45 42" xfId="490"/>
    <cellStyle name="Normal 2 45 43" xfId="491"/>
    <cellStyle name="Normal 2 45 44" xfId="492"/>
    <cellStyle name="Normal 2 45 45" xfId="493"/>
    <cellStyle name="Normal 2 45 46" xfId="494"/>
    <cellStyle name="Normal 2 45 47" xfId="495"/>
    <cellStyle name="Normal 2 45 48" xfId="496"/>
    <cellStyle name="Normal 2 45 49" xfId="497"/>
    <cellStyle name="Normal 2 45 5" xfId="498"/>
    <cellStyle name="Normal 2 45 50" xfId="499"/>
    <cellStyle name="Normal 2 45 51" xfId="500"/>
    <cellStyle name="Normal 2 45 52" xfId="501"/>
    <cellStyle name="Normal 2 45 53" xfId="502"/>
    <cellStyle name="Normal 2 45 54" xfId="503"/>
    <cellStyle name="Normal 2 45 55" xfId="504"/>
    <cellStyle name="Normal 2 45 56" xfId="505"/>
    <cellStyle name="Normal 2 45 57" xfId="506"/>
    <cellStyle name="Normal 2 45 58" xfId="507"/>
    <cellStyle name="Normal 2 45 59" xfId="508"/>
    <cellStyle name="Normal 2 45 6" xfId="509"/>
    <cellStyle name="Normal 2 45 7" xfId="510"/>
    <cellStyle name="Normal 2 45 8" xfId="511"/>
    <cellStyle name="Normal 2 45 9" xfId="512"/>
    <cellStyle name="Normal 2 46" xfId="513"/>
    <cellStyle name="Normal 2 47" xfId="514"/>
    <cellStyle name="Normal 2 48" xfId="515"/>
    <cellStyle name="Normal 2 49" xfId="516"/>
    <cellStyle name="Normal 2 5" xfId="517"/>
    <cellStyle name="Normal 2 5 2" xfId="518"/>
    <cellStyle name="Normal 2 5 3" xfId="519"/>
    <cellStyle name="Normal 2 5 3 2" xfId="520"/>
    <cellStyle name="Normal 2 5 4" xfId="521"/>
    <cellStyle name="Normal 2 50" xfId="522"/>
    <cellStyle name="Normal 2 51" xfId="523"/>
    <cellStyle name="Normal 2 52" xfId="524"/>
    <cellStyle name="Normal 2 53" xfId="525"/>
    <cellStyle name="Normal 2 54" xfId="526"/>
    <cellStyle name="Normal 2 55" xfId="527"/>
    <cellStyle name="Normal 2 56" xfId="528"/>
    <cellStyle name="Normal 2 57" xfId="529"/>
    <cellStyle name="Normal 2 58" xfId="530"/>
    <cellStyle name="Normal 2 59" xfId="531"/>
    <cellStyle name="Normal 2 6" xfId="532"/>
    <cellStyle name="Normal 2 6 2" xfId="533"/>
    <cellStyle name="Normal 2 60" xfId="534"/>
    <cellStyle name="Normal 2 61" xfId="535"/>
    <cellStyle name="Normal 2 62" xfId="536"/>
    <cellStyle name="Normal 2 63" xfId="537"/>
    <cellStyle name="Normal 2 64" xfId="538"/>
    <cellStyle name="Normal 2 65" xfId="539"/>
    <cellStyle name="Normal 2 66" xfId="540"/>
    <cellStyle name="Normal 2 67" xfId="541"/>
    <cellStyle name="Normal 2 68" xfId="542"/>
    <cellStyle name="Normal 2 69" xfId="543"/>
    <cellStyle name="Normal 2 7" xfId="544"/>
    <cellStyle name="Normal 2 70" xfId="545"/>
    <cellStyle name="Normal 2 71" xfId="546"/>
    <cellStyle name="Normal 2 72" xfId="547"/>
    <cellStyle name="Normal 2 73" xfId="548"/>
    <cellStyle name="Normal 2 74" xfId="549"/>
    <cellStyle name="Normal 2 75" xfId="550"/>
    <cellStyle name="Normal 2 76" xfId="551"/>
    <cellStyle name="Normal 2 77" xfId="552"/>
    <cellStyle name="Normal 2 78" xfId="553"/>
    <cellStyle name="Normal 2 79" xfId="554"/>
    <cellStyle name="Normal 2 8" xfId="555"/>
    <cellStyle name="Normal 2 80" xfId="556"/>
    <cellStyle name="Normal 2 81" xfId="557"/>
    <cellStyle name="Normal 2 82" xfId="558"/>
    <cellStyle name="Normal 2 83" xfId="559"/>
    <cellStyle name="Normal 2 84" xfId="560"/>
    <cellStyle name="Normal 2 85" xfId="561"/>
    <cellStyle name="Normal 2 86" xfId="562"/>
    <cellStyle name="Normal 2 87" xfId="563"/>
    <cellStyle name="Normal 2 88" xfId="564"/>
    <cellStyle name="Normal 2 89" xfId="565"/>
    <cellStyle name="Normal 2 9" xfId="566"/>
    <cellStyle name="Normal 2 90" xfId="567"/>
    <cellStyle name="Normal 2 91" xfId="568"/>
    <cellStyle name="Normal 2 92" xfId="569"/>
    <cellStyle name="Normal 2 93" xfId="570"/>
    <cellStyle name="Normal 2 94" xfId="571"/>
    <cellStyle name="Normal 2 95" xfId="572"/>
    <cellStyle name="Normal 2 96" xfId="573"/>
    <cellStyle name="Normal 2 97" xfId="574"/>
    <cellStyle name="Normal 2 98" xfId="575"/>
    <cellStyle name="Normal 2 99" xfId="576"/>
    <cellStyle name="Normal 20" xfId="577"/>
    <cellStyle name="Normal 20 2" xfId="578"/>
    <cellStyle name="Normal 20 3" xfId="579"/>
    <cellStyle name="Normal 20 4" xfId="580"/>
    <cellStyle name="Normal 21" xfId="581"/>
    <cellStyle name="Normal 21 2" xfId="582"/>
    <cellStyle name="Normal 21 3" xfId="583"/>
    <cellStyle name="Normal 21 4" xfId="584"/>
    <cellStyle name="Normal 22" xfId="585"/>
    <cellStyle name="Normal 22 2" xfId="586"/>
    <cellStyle name="Normal 22 3" xfId="587"/>
    <cellStyle name="Normal 22 4" xfId="588"/>
    <cellStyle name="Normal 23" xfId="589"/>
    <cellStyle name="Normal 23 2" xfId="590"/>
    <cellStyle name="Normal 23 3" xfId="591"/>
    <cellStyle name="Normal 24" xfId="592"/>
    <cellStyle name="Normal 24 2" xfId="593"/>
    <cellStyle name="Normal 24 3" xfId="594"/>
    <cellStyle name="Normal 25" xfId="595"/>
    <cellStyle name="Normal 26" xfId="596"/>
    <cellStyle name="Normal 27" xfId="597"/>
    <cellStyle name="Normal 28" xfId="598"/>
    <cellStyle name="Normal 29" xfId="599"/>
    <cellStyle name="Normal 3" xfId="600"/>
    <cellStyle name="Normal 3 2" xfId="601"/>
    <cellStyle name="Normal 3 2 2" xfId="602"/>
    <cellStyle name="Normal 3 3" xfId="603"/>
    <cellStyle name="Normal 3 3 2" xfId="604"/>
    <cellStyle name="Normal 3 3 3" xfId="605"/>
    <cellStyle name="Normal 3 4" xfId="606"/>
    <cellStyle name="Normal 3 5" xfId="607"/>
    <cellStyle name="Normal 30" xfId="608"/>
    <cellStyle name="Normal 31" xfId="609"/>
    <cellStyle name="Normal 32" xfId="610"/>
    <cellStyle name="Normal 33" xfId="611"/>
    <cellStyle name="Normal 34" xfId="612"/>
    <cellStyle name="Normal 35" xfId="613"/>
    <cellStyle name="Normal 36" xfId="614"/>
    <cellStyle name="Normal 37" xfId="615"/>
    <cellStyle name="Normal 38" xfId="616"/>
    <cellStyle name="Normal 39" xfId="617"/>
    <cellStyle name="Normal 4" xfId="618"/>
    <cellStyle name="Normal 4 2" xfId="619"/>
    <cellStyle name="Normal 4 2 2" xfId="620"/>
    <cellStyle name="Normal 4 3" xfId="621"/>
    <cellStyle name="Normal 4 4" xfId="622"/>
    <cellStyle name="Normal 40" xfId="623"/>
    <cellStyle name="Normal 41" xfId="624"/>
    <cellStyle name="Normal 42" xfId="625"/>
    <cellStyle name="Normal 43" xfId="626"/>
    <cellStyle name="Normal 44" xfId="627"/>
    <cellStyle name="Normal 45" xfId="628"/>
    <cellStyle name="Normal 46" xfId="629"/>
    <cellStyle name="Normal 47" xfId="630"/>
    <cellStyle name="Normal 48" xfId="631"/>
    <cellStyle name="Normal 49" xfId="632"/>
    <cellStyle name="Normal 5" xfId="633"/>
    <cellStyle name="Normal 5 10" xfId="634"/>
    <cellStyle name="Normal 5 11" xfId="635"/>
    <cellStyle name="Normal 5 12" xfId="636"/>
    <cellStyle name="Normal 5 13" xfId="637"/>
    <cellStyle name="Normal 5 14" xfId="638"/>
    <cellStyle name="Normal 5 15" xfId="639"/>
    <cellStyle name="Normal 5 16" xfId="640"/>
    <cellStyle name="Normal 5 17" xfId="641"/>
    <cellStyle name="Normal 5 18" xfId="642"/>
    <cellStyle name="Normal 5 19" xfId="643"/>
    <cellStyle name="Normal 5 2" xfId="644"/>
    <cellStyle name="Normal 5 20" xfId="645"/>
    <cellStyle name="Normal 5 21" xfId="646"/>
    <cellStyle name="Normal 5 22" xfId="647"/>
    <cellStyle name="Normal 5 23" xfId="648"/>
    <cellStyle name="Normal 5 24" xfId="649"/>
    <cellStyle name="Normal 5 25" xfId="650"/>
    <cellStyle name="Normal 5 26" xfId="651"/>
    <cellStyle name="Normal 5 27" xfId="652"/>
    <cellStyle name="Normal 5 28" xfId="653"/>
    <cellStyle name="Normal 5 28 10" xfId="654"/>
    <cellStyle name="Normal 5 28 11" xfId="655"/>
    <cellStyle name="Normal 5 28 12" xfId="656"/>
    <cellStyle name="Normal 5 28 13" xfId="657"/>
    <cellStyle name="Normal 5 28 14" xfId="658"/>
    <cellStyle name="Normal 5 28 15" xfId="659"/>
    <cellStyle name="Normal 5 28 16" xfId="660"/>
    <cellStyle name="Normal 5 28 17" xfId="661"/>
    <cellStyle name="Normal 5 28 18" xfId="662"/>
    <cellStyle name="Normal 5 28 19" xfId="663"/>
    <cellStyle name="Normal 5 28 2" xfId="664"/>
    <cellStyle name="Normal 5 28 20" xfId="665"/>
    <cellStyle name="Normal 5 28 21" xfId="666"/>
    <cellStyle name="Normal 5 28 22" xfId="667"/>
    <cellStyle name="Normal 5 28 23" xfId="668"/>
    <cellStyle name="Normal 5 28 24" xfId="669"/>
    <cellStyle name="Normal 5 28 25" xfId="670"/>
    <cellStyle name="Normal 5 28 3" xfId="671"/>
    <cellStyle name="Normal 5 28 4" xfId="672"/>
    <cellStyle name="Normal 5 28 5" xfId="673"/>
    <cellStyle name="Normal 5 28 6" xfId="674"/>
    <cellStyle name="Normal 5 28 7" xfId="675"/>
    <cellStyle name="Normal 5 28 8" xfId="676"/>
    <cellStyle name="Normal 5 28 9" xfId="677"/>
    <cellStyle name="Normal 5 29" xfId="678"/>
    <cellStyle name="Normal 5 3" xfId="679"/>
    <cellStyle name="Normal 5 4" xfId="680"/>
    <cellStyle name="Normal 5 5" xfId="681"/>
    <cellStyle name="Normal 5 6" xfId="682"/>
    <cellStyle name="Normal 5 7" xfId="683"/>
    <cellStyle name="Normal 5 8" xfId="684"/>
    <cellStyle name="Normal 5 9" xfId="685"/>
    <cellStyle name="Normal 50" xfId="686"/>
    <cellStyle name="Normal 51" xfId="687"/>
    <cellStyle name="Normal 52" xfId="688"/>
    <cellStyle name="Normal 53" xfId="689"/>
    <cellStyle name="Normal 54" xfId="690"/>
    <cellStyle name="Normal 55" xfId="691"/>
    <cellStyle name="Normal 56" xfId="2"/>
    <cellStyle name="Normal 56 2" xfId="692"/>
    <cellStyle name="Normal 57" xfId="693"/>
    <cellStyle name="Normal 58" xfId="694"/>
    <cellStyle name="Normal 59" xfId="695"/>
    <cellStyle name="Normal 6" xfId="696"/>
    <cellStyle name="Normal 6 2" xfId="697"/>
    <cellStyle name="Normal 6 2 2" xfId="698"/>
    <cellStyle name="Normal 6 2 3" xfId="699"/>
    <cellStyle name="Normal 6 3" xfId="700"/>
    <cellStyle name="Normal 6 4" xfId="701"/>
    <cellStyle name="Normal 60" xfId="702"/>
    <cellStyle name="Normal 61" xfId="703"/>
    <cellStyle name="Normal 62" xfId="704"/>
    <cellStyle name="Normal 63" xfId="705"/>
    <cellStyle name="Normal 64" xfId="706"/>
    <cellStyle name="Normal 65" xfId="707"/>
    <cellStyle name="Normal 66" xfId="708"/>
    <cellStyle name="Normal 67" xfId="709"/>
    <cellStyle name="Normal 68" xfId="710"/>
    <cellStyle name="Normal 69" xfId="711"/>
    <cellStyle name="Normal 7" xfId="712"/>
    <cellStyle name="Normal 7 2" xfId="713"/>
    <cellStyle name="Normal 7 3" xfId="714"/>
    <cellStyle name="Normal 7 4" xfId="715"/>
    <cellStyle name="Normal 70" xfId="716"/>
    <cellStyle name="Normal 71" xfId="717"/>
    <cellStyle name="Normal 72" xfId="718"/>
    <cellStyle name="Normal 73" xfId="719"/>
    <cellStyle name="Normal 74" xfId="720"/>
    <cellStyle name="Normal 75" xfId="721"/>
    <cellStyle name="Normal 76" xfId="722"/>
    <cellStyle name="Normal 77" xfId="723"/>
    <cellStyle name="Normal 78" xfId="724"/>
    <cellStyle name="Normal 79" xfId="725"/>
    <cellStyle name="Normal 79 2" xfId="726"/>
    <cellStyle name="Normal 79 3" xfId="727"/>
    <cellStyle name="Normal 8" xfId="728"/>
    <cellStyle name="Normal 8 2" xfId="729"/>
    <cellStyle name="Normal 8 3" xfId="730"/>
    <cellStyle name="Normal 8 4" xfId="731"/>
    <cellStyle name="Normal 80" xfId="732"/>
    <cellStyle name="Normal 80 2" xfId="733"/>
    <cellStyle name="Normal 81" xfId="734"/>
    <cellStyle name="Normal 81 2" xfId="735"/>
    <cellStyle name="Normal 82" xfId="736"/>
    <cellStyle name="Normal 82 2" xfId="737"/>
    <cellStyle name="Normal 82 2 2" xfId="738"/>
    <cellStyle name="Normal 83" xfId="739"/>
    <cellStyle name="Normal 83 2" xfId="740"/>
    <cellStyle name="Normal 83 2 2" xfId="741"/>
    <cellStyle name="Normal 84" xfId="742"/>
    <cellStyle name="Normal 84 2" xfId="743"/>
    <cellStyle name="Normal 84 3" xfId="744"/>
    <cellStyle name="Normal 85" xfId="745"/>
    <cellStyle name="Normal 85 2" xfId="746"/>
    <cellStyle name="Normal 85 3" xfId="747"/>
    <cellStyle name="Normal 86" xfId="748"/>
    <cellStyle name="Normal 86 2" xfId="749"/>
    <cellStyle name="Normal 86 3" xfId="750"/>
    <cellStyle name="Normal 87" xfId="751"/>
    <cellStyle name="Normal 87 2" xfId="752"/>
    <cellStyle name="Normal 87 3" xfId="753"/>
    <cellStyle name="Normal 88" xfId="754"/>
    <cellStyle name="Normal 88 2" xfId="755"/>
    <cellStyle name="Normal 88 3" xfId="756"/>
    <cellStyle name="Normal 88 4" xfId="757"/>
    <cellStyle name="Normal 89" xfId="758"/>
    <cellStyle name="Normal 9" xfId="759"/>
    <cellStyle name="Normal 9 2" xfId="760"/>
    <cellStyle name="Normal 9 3" xfId="761"/>
    <cellStyle name="Normal 9 4" xfId="762"/>
    <cellStyle name="Normal 90" xfId="763"/>
    <cellStyle name="Normal 91" xfId="764"/>
    <cellStyle name="Normal 92" xfId="765"/>
    <cellStyle name="Normal 93" xfId="766"/>
    <cellStyle name="Normal 94" xfId="767"/>
    <cellStyle name="Normal 94 2" xfId="768"/>
    <cellStyle name="Normal 95" xfId="769"/>
    <cellStyle name="Normal 95 2" xfId="770"/>
    <cellStyle name="Normal 95 3" xfId="771"/>
    <cellStyle name="Normal 96" xfId="772"/>
    <cellStyle name="Normal 97" xfId="773"/>
    <cellStyle name="Normal 97 2" xfId="774"/>
    <cellStyle name="Normal 98" xfId="775"/>
    <cellStyle name="Normal 98 2" xfId="776"/>
    <cellStyle name="Normal 99" xfId="777"/>
    <cellStyle name="Normal 99 2" xfId="778"/>
    <cellStyle name="Normal_7 DIAS" xfId="3"/>
    <cellStyle name="Notas 2" xfId="779"/>
    <cellStyle name="Notas 2 2" xfId="780"/>
    <cellStyle name="Notas 2 3" xfId="781"/>
    <cellStyle name="Notas 3" xfId="782"/>
    <cellStyle name="Notas 4" xfId="783"/>
    <cellStyle name="Porcentaje" xfId="1" builtinId="5"/>
    <cellStyle name="Porcentaje 2" xfId="784"/>
    <cellStyle name="Porcentaje 2 2" xfId="785"/>
    <cellStyle name="Salida 2" xfId="786"/>
    <cellStyle name="Salida 3" xfId="787"/>
    <cellStyle name="Salida 4" xfId="788"/>
    <cellStyle name="Texto de advertencia 2" xfId="789"/>
    <cellStyle name="Texto de advertencia 3" xfId="790"/>
    <cellStyle name="Texto de advertencia 4" xfId="791"/>
    <cellStyle name="Texto explicativo 2" xfId="792"/>
    <cellStyle name="Texto explicativo 3" xfId="793"/>
    <cellStyle name="Texto explicativo 4" xfId="794"/>
    <cellStyle name="Título 1 2" xfId="795"/>
    <cellStyle name="Título 2 2" xfId="796"/>
    <cellStyle name="Título 2 3" xfId="797"/>
    <cellStyle name="Título 2 4" xfId="798"/>
    <cellStyle name="Título 3 2" xfId="799"/>
    <cellStyle name="Título 3 3" xfId="800"/>
    <cellStyle name="Título 3 4" xfId="801"/>
    <cellStyle name="Título 4" xfId="802"/>
    <cellStyle name="Título 5" xfId="803"/>
    <cellStyle name="Título 6" xfId="804"/>
    <cellStyle name="Total 2" xfId="806"/>
    <cellStyle name="Total 3" xfId="807"/>
    <cellStyle name="Total 4" xfId="808"/>
    <cellStyle name="Total 5" xfId="80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42"/>
  <sheetViews>
    <sheetView tabSelected="1" topLeftCell="A19" workbookViewId="0">
      <selection activeCell="A42" sqref="A42"/>
    </sheetView>
  </sheetViews>
  <sheetFormatPr baseColWidth="10" defaultColWidth="9" defaultRowHeight="14.25"/>
  <cols>
    <col min="1" max="1" width="26.625" style="11" customWidth="1"/>
    <col min="2" max="2" width="16.75" bestFit="1" customWidth="1"/>
    <col min="4" max="4" width="10.625" bestFit="1" customWidth="1"/>
    <col min="6" max="6" width="10.875" bestFit="1" customWidth="1"/>
    <col min="8" max="8" width="13.375" bestFit="1" customWidth="1"/>
  </cols>
  <sheetData>
    <row r="1" spans="1:8">
      <c r="A1" s="11" t="s">
        <v>0</v>
      </c>
      <c r="B1" t="s">
        <v>1</v>
      </c>
      <c r="D1" t="s">
        <v>2</v>
      </c>
      <c r="F1" t="s">
        <v>3</v>
      </c>
      <c r="H1" t="s">
        <v>4</v>
      </c>
    </row>
    <row r="2" spans="1:8">
      <c r="A2" s="10">
        <v>46101</v>
      </c>
      <c r="B2" s="1">
        <v>12581.194</v>
      </c>
      <c r="D2" s="1">
        <v>3</v>
      </c>
      <c r="F2" s="1">
        <v>5</v>
      </c>
      <c r="H2" s="1">
        <v>4.8399999999999999E-2</v>
      </c>
    </row>
    <row r="3" spans="1:8">
      <c r="A3" s="10">
        <v>46104</v>
      </c>
      <c r="B3" s="1">
        <v>7000</v>
      </c>
      <c r="D3" s="1">
        <v>5</v>
      </c>
      <c r="F3" s="1">
        <v>5</v>
      </c>
      <c r="H3" s="1">
        <v>0.05</v>
      </c>
    </row>
    <row r="4" spans="1:8">
      <c r="A4" s="10">
        <v>46105</v>
      </c>
      <c r="B4" s="1">
        <v>0</v>
      </c>
      <c r="D4" s="1">
        <v>0</v>
      </c>
      <c r="F4" s="1">
        <v>0</v>
      </c>
      <c r="H4" s="1">
        <v>0</v>
      </c>
    </row>
    <row r="5" spans="1:8">
      <c r="A5" s="10">
        <v>46106</v>
      </c>
      <c r="B5" s="1">
        <v>31373.66</v>
      </c>
      <c r="D5" s="1">
        <v>0.1</v>
      </c>
      <c r="F5" s="1">
        <v>15</v>
      </c>
      <c r="H5" s="1">
        <v>9.2499999999999999E-2</v>
      </c>
    </row>
    <row r="6" spans="1:8">
      <c r="A6" s="10">
        <v>46107</v>
      </c>
      <c r="B6" s="1">
        <v>0</v>
      </c>
      <c r="D6" s="1">
        <v>0</v>
      </c>
      <c r="F6" s="1">
        <v>0</v>
      </c>
      <c r="H6" s="1">
        <v>0</v>
      </c>
    </row>
    <row r="7" spans="1:8">
      <c r="A7" s="10">
        <v>46108</v>
      </c>
      <c r="B7" s="1">
        <v>17816.601900000001</v>
      </c>
      <c r="D7" s="1">
        <v>3</v>
      </c>
      <c r="F7" s="1">
        <v>15</v>
      </c>
      <c r="H7" s="1">
        <v>5.8799999999999998E-2</v>
      </c>
    </row>
    <row r="8" spans="1:8">
      <c r="A8" s="10">
        <v>46111</v>
      </c>
      <c r="B8" s="1">
        <v>0</v>
      </c>
      <c r="D8" s="1">
        <v>0</v>
      </c>
      <c r="F8" s="1">
        <v>0</v>
      </c>
      <c r="H8" s="1">
        <v>0</v>
      </c>
    </row>
    <row r="9" spans="1:8">
      <c r="A9" s="10">
        <v>46112</v>
      </c>
      <c r="B9" s="1">
        <v>0</v>
      </c>
      <c r="D9" s="1">
        <v>0</v>
      </c>
      <c r="F9" s="1">
        <v>0</v>
      </c>
      <c r="H9" s="1">
        <v>0</v>
      </c>
    </row>
    <row r="10" spans="1:8">
      <c r="A10" s="10">
        <v>46113</v>
      </c>
      <c r="B10" s="1">
        <v>0</v>
      </c>
      <c r="D10" s="1">
        <v>0</v>
      </c>
      <c r="F10" s="1">
        <v>0</v>
      </c>
      <c r="H10" s="1">
        <v>0</v>
      </c>
    </row>
    <row r="11" spans="1:8">
      <c r="A11" s="10">
        <v>46118</v>
      </c>
      <c r="B11" s="1">
        <v>2034.26</v>
      </c>
      <c r="D11" s="1">
        <v>90</v>
      </c>
      <c r="F11" s="1">
        <v>100</v>
      </c>
      <c r="H11" s="1">
        <v>0.95</v>
      </c>
    </row>
    <row r="12" spans="1:8">
      <c r="A12" s="10">
        <v>46119</v>
      </c>
      <c r="B12" s="1">
        <v>2105.5</v>
      </c>
      <c r="D12" s="1">
        <v>100</v>
      </c>
      <c r="F12" s="1">
        <v>101</v>
      </c>
      <c r="H12" s="1">
        <v>1.0046999999999999</v>
      </c>
    </row>
    <row r="13" spans="1:8">
      <c r="A13" s="10">
        <v>46120</v>
      </c>
      <c r="B13" s="1">
        <v>3874.3249999999998</v>
      </c>
      <c r="D13" s="1">
        <v>100</v>
      </c>
      <c r="F13" s="1">
        <v>110</v>
      </c>
      <c r="H13" s="1">
        <v>1.0604</v>
      </c>
    </row>
    <row r="14" spans="1:8">
      <c r="A14" s="10">
        <v>46121</v>
      </c>
      <c r="B14" s="1">
        <v>5291.1750000000002</v>
      </c>
      <c r="D14" s="1">
        <v>120</v>
      </c>
      <c r="F14" s="1">
        <v>120</v>
      </c>
      <c r="H14" s="1">
        <v>120</v>
      </c>
    </row>
    <row r="15" spans="1:8">
      <c r="A15" s="10">
        <v>46122</v>
      </c>
      <c r="B15" s="1">
        <v>8851</v>
      </c>
      <c r="D15" s="1">
        <v>35</v>
      </c>
      <c r="F15" s="1">
        <v>200</v>
      </c>
      <c r="H15" s="1">
        <v>0.35270000000000001</v>
      </c>
    </row>
    <row r="16" spans="1:8">
      <c r="A16" s="10">
        <v>46125</v>
      </c>
      <c r="B16" s="1">
        <v>0</v>
      </c>
      <c r="D16" s="1">
        <v>0</v>
      </c>
      <c r="F16" s="1">
        <v>0</v>
      </c>
      <c r="H16" s="1">
        <v>0</v>
      </c>
    </row>
    <row r="17" spans="1:8">
      <c r="A17" s="10">
        <v>46126</v>
      </c>
      <c r="B17" s="1">
        <v>0</v>
      </c>
      <c r="D17" s="1">
        <v>0</v>
      </c>
      <c r="F17" s="1">
        <v>0</v>
      </c>
      <c r="H17" s="1">
        <v>0</v>
      </c>
    </row>
    <row r="18" spans="1:8">
      <c r="A18" s="10">
        <v>46127</v>
      </c>
      <c r="B18" s="1">
        <v>0</v>
      </c>
      <c r="D18" s="1">
        <v>0</v>
      </c>
      <c r="F18" s="1">
        <v>0</v>
      </c>
      <c r="H18" s="1">
        <v>0</v>
      </c>
    </row>
    <row r="19" spans="1:8">
      <c r="A19" s="10">
        <v>46128</v>
      </c>
      <c r="B19" s="1">
        <v>0</v>
      </c>
      <c r="D19" s="1">
        <v>0</v>
      </c>
      <c r="F19" s="1">
        <v>0</v>
      </c>
      <c r="H19" s="1">
        <v>0</v>
      </c>
    </row>
    <row r="20" spans="1:8">
      <c r="A20" s="10">
        <v>46129</v>
      </c>
      <c r="B20" s="1">
        <v>0</v>
      </c>
      <c r="D20" s="1">
        <v>0</v>
      </c>
      <c r="F20" s="1">
        <v>0</v>
      </c>
      <c r="H20" s="1">
        <v>0</v>
      </c>
    </row>
    <row r="21" spans="1:8">
      <c r="A21" s="10">
        <v>46132</v>
      </c>
      <c r="B21" s="1">
        <v>0</v>
      </c>
      <c r="D21" s="1">
        <v>0</v>
      </c>
      <c r="F21" s="1">
        <v>0</v>
      </c>
      <c r="H21" s="1">
        <v>0</v>
      </c>
    </row>
    <row r="22" spans="1:8">
      <c r="A22" s="10">
        <v>46133</v>
      </c>
      <c r="B22" s="1">
        <v>0</v>
      </c>
      <c r="D22" s="1">
        <v>0</v>
      </c>
      <c r="F22" s="1">
        <v>0</v>
      </c>
      <c r="H22" s="1">
        <v>0</v>
      </c>
    </row>
    <row r="23" spans="1:8">
      <c r="A23" s="10">
        <v>46134</v>
      </c>
      <c r="B23" s="1">
        <v>300</v>
      </c>
      <c r="D23" s="1">
        <v>100</v>
      </c>
      <c r="F23" s="1">
        <v>140</v>
      </c>
      <c r="H23" s="1">
        <v>120</v>
      </c>
    </row>
    <row r="24" spans="1:8">
      <c r="A24" s="10">
        <v>46135</v>
      </c>
      <c r="B24" s="1">
        <v>38366.589999999997</v>
      </c>
      <c r="D24" s="1">
        <v>100</v>
      </c>
      <c r="F24" s="1">
        <v>100.01</v>
      </c>
      <c r="H24" s="1">
        <v>100</v>
      </c>
    </row>
    <row r="25" spans="1:8">
      <c r="A25" s="10">
        <v>46136</v>
      </c>
      <c r="B25" s="1">
        <v>146.97</v>
      </c>
      <c r="D25" s="1">
        <v>35</v>
      </c>
      <c r="F25" s="1">
        <v>35</v>
      </c>
      <c r="H25" s="1">
        <v>35</v>
      </c>
    </row>
    <row r="26" spans="1:8">
      <c r="A26" s="10">
        <v>46139</v>
      </c>
      <c r="B26" s="1">
        <v>0</v>
      </c>
      <c r="D26" s="1">
        <v>0</v>
      </c>
      <c r="F26" s="1">
        <v>0</v>
      </c>
      <c r="H26" s="1">
        <v>0</v>
      </c>
    </row>
    <row r="27" spans="1:8">
      <c r="A27" s="10">
        <v>46140</v>
      </c>
      <c r="B27" s="1">
        <v>0</v>
      </c>
      <c r="D27" s="1">
        <v>0</v>
      </c>
      <c r="F27" s="1">
        <v>0</v>
      </c>
      <c r="H27" s="1">
        <v>0</v>
      </c>
    </row>
    <row r="28" spans="1:8">
      <c r="A28" s="10">
        <v>46141</v>
      </c>
      <c r="B28" s="1">
        <v>0</v>
      </c>
      <c r="D28" s="1">
        <v>0</v>
      </c>
      <c r="F28" s="1">
        <v>0</v>
      </c>
      <c r="H28" s="1">
        <v>0</v>
      </c>
    </row>
    <row r="29" spans="1:8">
      <c r="A29" s="10">
        <v>46142</v>
      </c>
      <c r="B29" s="1">
        <v>37961.673699999999</v>
      </c>
      <c r="C29" s="7"/>
      <c r="D29" s="1">
        <v>15</v>
      </c>
      <c r="E29" s="7"/>
      <c r="F29" s="1">
        <v>25</v>
      </c>
      <c r="G29" s="7"/>
      <c r="H29" s="1">
        <v>18.43</v>
      </c>
    </row>
    <row r="30" spans="1:8">
      <c r="A30" s="10">
        <v>46146</v>
      </c>
      <c r="B30" s="1">
        <v>0</v>
      </c>
      <c r="C30" s="9"/>
      <c r="D30" s="1">
        <v>0</v>
      </c>
      <c r="E30" s="9"/>
      <c r="F30" s="1">
        <v>0</v>
      </c>
      <c r="G30" s="9"/>
      <c r="H30" s="1">
        <v>0</v>
      </c>
    </row>
    <row r="31" spans="1:8">
      <c r="A31" s="10">
        <v>46147</v>
      </c>
      <c r="B31" s="1">
        <v>39236.082000000002</v>
      </c>
      <c r="C31" s="9"/>
      <c r="D31" s="1">
        <v>100</v>
      </c>
      <c r="E31" s="9"/>
      <c r="F31" s="1">
        <v>100</v>
      </c>
      <c r="G31" s="9"/>
      <c r="H31" s="1">
        <v>100</v>
      </c>
    </row>
    <row r="32" spans="1:8">
      <c r="A32" s="10">
        <v>46148</v>
      </c>
      <c r="B32" s="1">
        <v>1200</v>
      </c>
      <c r="C32" s="9"/>
      <c r="D32" s="1">
        <v>100</v>
      </c>
      <c r="E32" s="9"/>
      <c r="F32" s="1">
        <v>100</v>
      </c>
      <c r="G32" s="9"/>
      <c r="H32" s="1">
        <v>100</v>
      </c>
    </row>
    <row r="33" spans="1:8">
      <c r="A33" s="22">
        <v>46149</v>
      </c>
      <c r="B33" s="18">
        <v>32505.648000000001</v>
      </c>
      <c r="C33" s="21"/>
      <c r="D33" s="18">
        <v>150</v>
      </c>
      <c r="E33" s="21"/>
      <c r="F33" s="18">
        <v>300</v>
      </c>
      <c r="G33" s="21"/>
      <c r="H33" s="18">
        <v>243.9</v>
      </c>
    </row>
    <row r="34" spans="1:8">
      <c r="A34" s="22">
        <v>46150</v>
      </c>
      <c r="B34" s="18">
        <v>8103.3360000000002</v>
      </c>
      <c r="C34" s="21"/>
      <c r="D34" s="18">
        <v>100</v>
      </c>
      <c r="E34" s="21"/>
      <c r="F34" s="18">
        <v>100</v>
      </c>
      <c r="G34" s="21"/>
      <c r="H34" s="18">
        <v>100</v>
      </c>
    </row>
    <row r="35" spans="1:8">
      <c r="A35" s="22">
        <v>46153</v>
      </c>
      <c r="B35" s="18">
        <v>30219.955319000001</v>
      </c>
      <c r="C35" s="21"/>
      <c r="D35" s="18">
        <v>100</v>
      </c>
      <c r="E35" s="21"/>
      <c r="F35" s="18">
        <v>110.06</v>
      </c>
      <c r="G35" s="21"/>
      <c r="H35" s="18">
        <v>109.71</v>
      </c>
    </row>
    <row r="36" spans="1:8">
      <c r="A36" s="22">
        <v>46154</v>
      </c>
      <c r="B36" s="18">
        <v>0</v>
      </c>
      <c r="C36" s="21"/>
      <c r="D36" s="18">
        <v>0</v>
      </c>
      <c r="E36" s="21"/>
      <c r="F36" s="18">
        <v>0</v>
      </c>
      <c r="G36" s="21"/>
      <c r="H36" s="18">
        <v>0</v>
      </c>
    </row>
    <row r="37" spans="1:8">
      <c r="A37" s="22">
        <v>46155</v>
      </c>
      <c r="B37" s="18">
        <v>200</v>
      </c>
      <c r="C37" s="21"/>
      <c r="D37" s="18">
        <v>100</v>
      </c>
      <c r="E37" s="21"/>
      <c r="F37" s="18">
        <v>100</v>
      </c>
      <c r="G37" s="21"/>
      <c r="H37" s="18">
        <v>100</v>
      </c>
    </row>
    <row r="38" spans="1:8">
      <c r="A38" s="22">
        <v>46156</v>
      </c>
      <c r="B38" s="18">
        <v>0</v>
      </c>
      <c r="C38" s="21"/>
      <c r="D38" s="18">
        <v>0</v>
      </c>
      <c r="E38" s="21"/>
      <c r="F38" s="18">
        <v>0</v>
      </c>
      <c r="G38" s="21"/>
      <c r="H38" s="18">
        <v>0</v>
      </c>
    </row>
    <row r="39" spans="1:8">
      <c r="A39" s="22">
        <v>46157</v>
      </c>
      <c r="B39" s="18">
        <v>0</v>
      </c>
      <c r="C39" s="29"/>
      <c r="D39" s="18">
        <v>0</v>
      </c>
      <c r="E39" s="30"/>
      <c r="F39" s="18">
        <v>0</v>
      </c>
      <c r="G39" s="30"/>
      <c r="H39" s="18">
        <v>0</v>
      </c>
    </row>
    <row r="40" spans="1:8">
      <c r="A40" s="22">
        <v>46161</v>
      </c>
      <c r="B40" s="18">
        <v>0</v>
      </c>
      <c r="D40" s="18">
        <v>0</v>
      </c>
      <c r="E40" s="30"/>
      <c r="F40" s="18">
        <v>0</v>
      </c>
      <c r="G40" s="30"/>
      <c r="H40" s="18">
        <v>0</v>
      </c>
    </row>
    <row r="41" spans="1:8">
      <c r="A41" s="22">
        <v>46162</v>
      </c>
      <c r="B41" s="18">
        <v>0</v>
      </c>
      <c r="C41" s="25"/>
      <c r="D41" s="18">
        <v>0</v>
      </c>
      <c r="E41" s="25"/>
      <c r="F41" s="18">
        <v>0</v>
      </c>
      <c r="G41" s="25"/>
      <c r="H41" s="18">
        <v>0</v>
      </c>
    </row>
    <row r="42" spans="1:8">
      <c r="A42" s="22">
        <v>46163</v>
      </c>
      <c r="B42" s="18">
        <v>5006.6000000000004</v>
      </c>
      <c r="C42" s="21"/>
      <c r="D42" s="18">
        <v>120</v>
      </c>
      <c r="E42" s="21"/>
      <c r="F42" s="18">
        <v>120</v>
      </c>
      <c r="G42" s="21"/>
      <c r="H42" s="18">
        <v>120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6"/>
  <sheetViews>
    <sheetView workbookViewId="0">
      <selection activeCell="B2" sqref="B2"/>
    </sheetView>
  </sheetViews>
  <sheetFormatPr baseColWidth="10" defaultColWidth="9" defaultRowHeight="14.25"/>
  <cols>
    <col min="1" max="1" width="9.875" bestFit="1" customWidth="1"/>
    <col min="2" max="2" width="21.75" customWidth="1"/>
    <col min="3" max="3" width="14" style="13" customWidth="1"/>
    <col min="4" max="4" width="17.375" customWidth="1"/>
    <col min="5" max="5" width="24.625" bestFit="1" customWidth="1"/>
  </cols>
  <sheetData>
    <row r="1" spans="1:5" ht="15" customHeight="1">
      <c r="A1" t="s">
        <v>0</v>
      </c>
      <c r="B1" t="s">
        <v>5</v>
      </c>
      <c r="C1" s="13" t="s">
        <v>17</v>
      </c>
      <c r="D1" t="s">
        <v>6</v>
      </c>
      <c r="E1" t="s">
        <v>7</v>
      </c>
    </row>
    <row r="2" spans="1:5" s="25" customFormat="1" ht="15" customHeight="1">
      <c r="A2" s="26">
        <v>46163</v>
      </c>
      <c r="B2" s="25">
        <v>55.256117230000001</v>
      </c>
      <c r="C2" s="31">
        <f>+((B5-B6)/B6)</f>
        <v>35.243819791014161</v>
      </c>
      <c r="D2" s="25" t="s">
        <v>8</v>
      </c>
      <c r="E2" s="5">
        <v>42155.425069182624</v>
      </c>
    </row>
    <row r="3" spans="1:5" ht="17.25" customHeight="1">
      <c r="A3" s="26">
        <v>46162</v>
      </c>
      <c r="B3" s="25">
        <v>20356.468143580001</v>
      </c>
      <c r="C3" s="31">
        <f>+((B6-B7)/B7)</f>
        <v>82.182099964255912</v>
      </c>
      <c r="D3" s="25" t="s">
        <v>9</v>
      </c>
      <c r="E3" s="5">
        <v>68497.757342013356</v>
      </c>
    </row>
    <row r="4" spans="1:5">
      <c r="A4" s="26">
        <v>46161</v>
      </c>
      <c r="B4" s="25">
        <v>72301.933723569993</v>
      </c>
      <c r="C4" s="31">
        <f t="shared" ref="C4:C27" si="0">+((B7-B8)/B8)</f>
        <v>-0.96342609797465562</v>
      </c>
      <c r="D4" s="25" t="s">
        <v>10</v>
      </c>
      <c r="E4" s="6">
        <v>85928.931135131905</v>
      </c>
    </row>
    <row r="5" spans="1:5">
      <c r="A5" s="26">
        <v>46157</v>
      </c>
      <c r="B5" s="25">
        <v>74209.813271849998</v>
      </c>
      <c r="C5" s="31">
        <f t="shared" si="0"/>
        <v>-0.95811572537747924</v>
      </c>
      <c r="D5" s="25" t="s">
        <v>30</v>
      </c>
      <c r="E5" s="6">
        <v>22227.4775024345</v>
      </c>
    </row>
    <row r="6" spans="1:5">
      <c r="A6" s="26">
        <v>46156</v>
      </c>
      <c r="B6" s="25">
        <v>2047.5163407099999</v>
      </c>
      <c r="C6" s="31">
        <f t="shared" si="0"/>
        <v>-0.32064889280191988</v>
      </c>
      <c r="E6" s="6"/>
    </row>
    <row r="7" spans="1:5">
      <c r="A7" s="26">
        <v>46155</v>
      </c>
      <c r="B7" s="25">
        <v>24.614867159999999</v>
      </c>
      <c r="C7" s="31">
        <f t="shared" si="0"/>
        <v>178.18998455533497</v>
      </c>
    </row>
    <row r="8" spans="1:5">
      <c r="A8" s="26">
        <v>46154</v>
      </c>
      <c r="B8" s="25">
        <v>673.01725538999995</v>
      </c>
      <c r="C8" s="31">
        <f t="shared" si="0"/>
        <v>-0.82294618034282907</v>
      </c>
    </row>
    <row r="9" spans="1:5">
      <c r="A9" s="26">
        <v>46153</v>
      </c>
      <c r="B9" s="25">
        <v>16068.49495319</v>
      </c>
      <c r="C9" s="31">
        <f t="shared" si="0"/>
        <v>-0.99115816107458954</v>
      </c>
    </row>
    <row r="10" spans="1:5">
      <c r="A10" s="26">
        <v>46150</v>
      </c>
      <c r="B10" s="25">
        <v>23652.710333340001</v>
      </c>
      <c r="C10" s="31">
        <f t="shared" si="0"/>
        <v>0.70107388483787059</v>
      </c>
    </row>
    <row r="11" spans="1:5">
      <c r="A11" s="24">
        <v>46149</v>
      </c>
      <c r="B11" s="23">
        <v>131.99794839</v>
      </c>
      <c r="C11" s="31">
        <f t="shared" si="0"/>
        <v>-0.43255825515735763</v>
      </c>
    </row>
    <row r="12" spans="1:5">
      <c r="A12" s="19">
        <v>46148</v>
      </c>
      <c r="B12" s="17">
        <v>745.52443231999996</v>
      </c>
      <c r="C12" s="31">
        <f t="shared" si="0"/>
        <v>2.0773664296544805</v>
      </c>
    </row>
    <row r="13" spans="1:5">
      <c r="A13" s="19">
        <v>46147</v>
      </c>
      <c r="B13" s="17">
        <v>84317.802960360001</v>
      </c>
      <c r="C13" s="31">
        <f t="shared" si="0"/>
        <v>-0.59636256133262866</v>
      </c>
    </row>
    <row r="14" spans="1:5">
      <c r="A14" s="19">
        <v>46146</v>
      </c>
      <c r="B14" s="17">
        <v>49567.396050169998</v>
      </c>
      <c r="C14" s="31">
        <f t="shared" si="0"/>
        <v>0.74333012643706198</v>
      </c>
    </row>
    <row r="15" spans="1:5">
      <c r="A15" s="20">
        <v>46142</v>
      </c>
      <c r="B15" s="17">
        <v>87352.396084139997</v>
      </c>
      <c r="C15" s="31">
        <f t="shared" si="0"/>
        <v>-0.33842006324553126</v>
      </c>
    </row>
    <row r="16" spans="1:5">
      <c r="A16" s="20">
        <v>46141</v>
      </c>
      <c r="B16" s="17">
        <v>28385.438679769999</v>
      </c>
      <c r="C16" s="31">
        <f t="shared" si="0"/>
        <v>12.106463903543759</v>
      </c>
    </row>
    <row r="17" spans="1:3">
      <c r="A17" s="20">
        <v>46140</v>
      </c>
      <c r="B17" s="17">
        <v>70324.097718699995</v>
      </c>
      <c r="C17" s="31">
        <f t="shared" si="0"/>
        <v>-0.73032401489373799</v>
      </c>
    </row>
    <row r="18" spans="1:3">
      <c r="A18" s="20">
        <v>46139</v>
      </c>
      <c r="B18" s="17">
        <v>40338.944788629997</v>
      </c>
      <c r="C18" s="31">
        <f t="shared" si="0"/>
        <v>-0.64046760511667533</v>
      </c>
    </row>
    <row r="19" spans="1:3">
      <c r="A19" s="20">
        <v>46136</v>
      </c>
      <c r="B19" s="17">
        <v>60973.651931649998</v>
      </c>
      <c r="C19" s="31">
        <f t="shared" si="0"/>
        <v>-6.5402088492716129E-2</v>
      </c>
    </row>
    <row r="20" spans="1:3">
      <c r="A20" s="20">
        <v>46135</v>
      </c>
      <c r="B20" s="17">
        <v>4652.1817311200002</v>
      </c>
      <c r="C20" s="31">
        <f t="shared" si="0"/>
        <v>1.9819948129202027</v>
      </c>
    </row>
    <row r="21" spans="1:3">
      <c r="A21" s="20">
        <v>46134</v>
      </c>
      <c r="B21" s="17">
        <v>17251.00486529</v>
      </c>
      <c r="C21" s="31">
        <f t="shared" si="0"/>
        <v>910.40237411852581</v>
      </c>
    </row>
    <row r="22" spans="1:3">
      <c r="A22" s="20">
        <v>46133</v>
      </c>
      <c r="B22" s="17">
        <v>47981.781644150004</v>
      </c>
      <c r="C22" s="31">
        <f t="shared" si="0"/>
        <v>0.19572063797541306</v>
      </c>
    </row>
    <row r="23" spans="1:3">
      <c r="A23" s="20">
        <v>46132</v>
      </c>
      <c r="B23" s="17">
        <v>51339.49161813</v>
      </c>
      <c r="C23" s="31">
        <f t="shared" si="0"/>
        <v>-2.5764893835585476E-2</v>
      </c>
    </row>
    <row r="24" spans="1:3">
      <c r="A24" s="20">
        <v>46129</v>
      </c>
      <c r="B24" s="17">
        <v>17216.492596060001</v>
      </c>
      <c r="C24" s="31">
        <f t="shared" si="0"/>
        <v>-0.99344926580920656</v>
      </c>
    </row>
    <row r="25" spans="1:3">
      <c r="A25" s="20">
        <v>46128</v>
      </c>
      <c r="B25" s="17">
        <v>18.890111640000001</v>
      </c>
      <c r="C25" s="31">
        <f t="shared" si="0"/>
        <v>-0.68887087467151309</v>
      </c>
    </row>
    <row r="26" spans="1:3">
      <c r="A26" s="20">
        <v>46127</v>
      </c>
      <c r="B26" s="17">
        <v>15.79809785</v>
      </c>
      <c r="C26" s="31">
        <f t="shared" si="0"/>
        <v>190.54886991293833</v>
      </c>
    </row>
    <row r="27" spans="1:3">
      <c r="A27" s="20">
        <v>46126</v>
      </c>
      <c r="B27" s="17">
        <v>16.215898760000002</v>
      </c>
      <c r="C27" s="31">
        <f t="shared" si="0"/>
        <v>-0.92845434694034024</v>
      </c>
    </row>
    <row r="28" spans="1:3">
      <c r="A28" s="20">
        <v>46125</v>
      </c>
      <c r="B28" s="17">
        <v>2475.4322626600001</v>
      </c>
      <c r="C28" s="16">
        <v>0</v>
      </c>
    </row>
    <row r="29" spans="1:3">
      <c r="A29" s="20">
        <v>46122</v>
      </c>
      <c r="B29" s="17">
        <v>7956.2858669899997</v>
      </c>
      <c r="C29" s="16">
        <v>0</v>
      </c>
    </row>
    <row r="30" spans="1:3">
      <c r="A30" s="20">
        <v>46121</v>
      </c>
      <c r="B30" s="17">
        <v>41.536584740000002</v>
      </c>
      <c r="C30" s="16">
        <v>0</v>
      </c>
    </row>
    <row r="31" spans="1:3">
      <c r="A31" s="20">
        <v>46120</v>
      </c>
      <c r="B31" s="17">
        <v>580.56056466999996</v>
      </c>
      <c r="C31" s="16">
        <v>0</v>
      </c>
    </row>
    <row r="32" spans="1:3">
      <c r="A32" s="20">
        <v>46119</v>
      </c>
      <c r="B32" s="17">
        <v>116.97186189</v>
      </c>
      <c r="C32" s="16">
        <v>0</v>
      </c>
    </row>
    <row r="33" spans="1:3">
      <c r="A33" s="20">
        <v>46118</v>
      </c>
      <c r="B33" s="17">
        <v>6972.36861443</v>
      </c>
      <c r="C33" s="16">
        <v>0</v>
      </c>
    </row>
    <row r="34" spans="1:3">
      <c r="A34" s="20">
        <v>46113</v>
      </c>
      <c r="B34" s="17">
        <v>540.00852741999995</v>
      </c>
    </row>
    <row r="35" spans="1:3">
      <c r="A35" s="20">
        <v>46112</v>
      </c>
      <c r="B35" s="17">
        <v>5262.3389565099997</v>
      </c>
    </row>
    <row r="36" spans="1:3">
      <c r="A36" s="20">
        <v>46111</v>
      </c>
      <c r="B36" s="17">
        <v>22969.58967849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5"/>
  <sheetViews>
    <sheetView workbookViewId="0">
      <selection activeCell="A5" sqref="A5"/>
    </sheetView>
  </sheetViews>
  <sheetFormatPr baseColWidth="10" defaultColWidth="9" defaultRowHeight="14.25"/>
  <cols>
    <col min="1" max="1" width="17" customWidth="1"/>
    <col min="2" max="2" width="19.25" customWidth="1"/>
    <col min="3" max="3" width="12.625" customWidth="1"/>
    <col min="4" max="4" width="20" customWidth="1"/>
  </cols>
  <sheetData>
    <row r="1" spans="1:4">
      <c r="A1" t="s">
        <v>11</v>
      </c>
      <c r="B1" t="s">
        <v>12</v>
      </c>
      <c r="C1" t="s">
        <v>13</v>
      </c>
      <c r="D1" t="s">
        <v>14</v>
      </c>
    </row>
    <row r="2" spans="1:4">
      <c r="A2" t="s">
        <v>8</v>
      </c>
      <c r="B2" s="1">
        <v>233000.41606600001</v>
      </c>
      <c r="C2" s="1">
        <v>12263.179792947369</v>
      </c>
      <c r="D2">
        <v>317.51</v>
      </c>
    </row>
    <row r="3" spans="1:4">
      <c r="A3" t="s">
        <v>9</v>
      </c>
      <c r="B3" s="1">
        <v>222685.80931400001</v>
      </c>
      <c r="C3" s="1">
        <v>12371.433850777779</v>
      </c>
      <c r="D3">
        <v>45.32</v>
      </c>
    </row>
    <row r="4" spans="1:4">
      <c r="A4" t="s">
        <v>10</v>
      </c>
      <c r="B4" s="1">
        <v>217064.39708600001</v>
      </c>
      <c r="C4" s="1">
        <v>10336.399861238096</v>
      </c>
      <c r="D4">
        <v>43.04</v>
      </c>
    </row>
    <row r="5" spans="1:4">
      <c r="A5" t="s">
        <v>30</v>
      </c>
      <c r="B5" s="1">
        <v>98931.490865999993</v>
      </c>
      <c r="C5" s="1">
        <v>4946.5745432999993</v>
      </c>
      <c r="D5" s="8">
        <v>64.09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6"/>
  <sheetViews>
    <sheetView workbookViewId="0">
      <selection activeCell="A17" sqref="A17"/>
    </sheetView>
  </sheetViews>
  <sheetFormatPr baseColWidth="10" defaultColWidth="9" defaultRowHeight="14.25"/>
  <cols>
    <col min="1" max="1" width="9.875" bestFit="1" customWidth="1"/>
    <col min="2" max="2" width="15.375" bestFit="1" customWidth="1"/>
    <col min="3" max="3" width="9.625" bestFit="1" customWidth="1"/>
  </cols>
  <sheetData>
    <row r="1" spans="1:3">
      <c r="A1" t="s">
        <v>15</v>
      </c>
      <c r="B1" t="s">
        <v>16</v>
      </c>
      <c r="C1" t="s">
        <v>17</v>
      </c>
    </row>
    <row r="2" spans="1:3">
      <c r="A2" s="2">
        <v>46024</v>
      </c>
      <c r="B2" s="1">
        <v>680053310.5984205</v>
      </c>
      <c r="C2" s="3"/>
    </row>
    <row r="3" spans="1:3" ht="15" thickBot="1">
      <c r="A3" s="2">
        <v>46031</v>
      </c>
      <c r="B3" s="1">
        <v>631055414.05422926</v>
      </c>
      <c r="C3" s="4">
        <v>-7.2050081634151582</v>
      </c>
    </row>
    <row r="4" spans="1:3" ht="15" thickBot="1">
      <c r="A4" s="2">
        <v>46038</v>
      </c>
      <c r="B4" s="1">
        <v>687738190.99875975</v>
      </c>
      <c r="C4" s="4">
        <v>8.9822186264706527</v>
      </c>
    </row>
    <row r="5" spans="1:3" ht="15" thickBot="1">
      <c r="A5" s="2">
        <v>46045</v>
      </c>
      <c r="B5" s="1">
        <v>728876050.32802963</v>
      </c>
      <c r="C5" s="4">
        <v>5.9816162411350033</v>
      </c>
    </row>
    <row r="6" spans="1:3" ht="15" thickBot="1">
      <c r="A6" s="2">
        <v>46052</v>
      </c>
      <c r="B6" s="1">
        <v>839643409.76085114</v>
      </c>
      <c r="C6" s="4">
        <v>15.197009063882785</v>
      </c>
    </row>
    <row r="7" spans="1:3" ht="15" thickBot="1">
      <c r="A7" s="2">
        <v>46059</v>
      </c>
      <c r="B7" s="1">
        <v>818274973.23848069</v>
      </c>
      <c r="C7" s="4">
        <v>-2.5449418495950149</v>
      </c>
    </row>
    <row r="8" spans="1:3" ht="15" thickBot="1">
      <c r="A8" s="2">
        <v>46066</v>
      </c>
      <c r="B8" s="1">
        <v>801808360.23688257</v>
      </c>
      <c r="C8" s="4">
        <v>-2.0123569142568702</v>
      </c>
    </row>
    <row r="9" spans="1:3" ht="15" thickBot="1">
      <c r="A9" s="2">
        <v>46073</v>
      </c>
      <c r="B9" s="1">
        <v>886542333.87268889</v>
      </c>
      <c r="C9" s="4">
        <v>10.56785858540723</v>
      </c>
    </row>
    <row r="10" spans="1:3" ht="15" thickBot="1">
      <c r="A10" s="2">
        <v>46080</v>
      </c>
      <c r="B10" s="1">
        <v>938549580.20021927</v>
      </c>
      <c r="C10" s="4">
        <v>5.8663015109889649</v>
      </c>
    </row>
    <row r="11" spans="1:3" ht="15" thickBot="1">
      <c r="A11" s="2">
        <v>46087</v>
      </c>
      <c r="B11" s="1">
        <v>870061809.65898001</v>
      </c>
      <c r="C11" s="4">
        <v>-7.2971926029340803</v>
      </c>
    </row>
    <row r="12" spans="1:3" ht="15" thickBot="1">
      <c r="A12" s="2">
        <v>46094</v>
      </c>
      <c r="B12" s="1">
        <v>959597484.45129991</v>
      </c>
      <c r="C12" s="4">
        <v>10.290725762048252</v>
      </c>
    </row>
    <row r="13" spans="1:3" ht="15" thickBot="1">
      <c r="A13" s="2">
        <v>46101</v>
      </c>
      <c r="B13" s="1">
        <v>1136404345.7909815</v>
      </c>
      <c r="C13" s="4">
        <v>18.425106797854955</v>
      </c>
    </row>
    <row r="14" spans="1:3" ht="15" thickBot="1">
      <c r="A14" s="2">
        <v>46108</v>
      </c>
      <c r="B14" s="1">
        <v>1111572721.2404912</v>
      </c>
      <c r="C14" s="4">
        <f>+((B14-B13)/B13)*100</f>
        <v>-2.1851046806061447</v>
      </c>
    </row>
    <row r="15" spans="1:3" ht="15" thickBot="1">
      <c r="A15" s="2">
        <v>46129</v>
      </c>
      <c r="B15" s="1">
        <v>1071533894.2527295</v>
      </c>
      <c r="C15" s="4">
        <f>+((B15-B14)/B14)*100</f>
        <v>-3.6019979820194892</v>
      </c>
    </row>
    <row r="16" spans="1:3" ht="15" thickBot="1">
      <c r="A16" s="26">
        <v>46136</v>
      </c>
      <c r="B16" s="18">
        <v>1206629034.17156</v>
      </c>
      <c r="C16" s="4">
        <f>+((B16-B15)/B15)*100</f>
        <v>12.607640378286277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8"/>
  <sheetViews>
    <sheetView workbookViewId="0">
      <selection activeCell="G8" sqref="G8"/>
    </sheetView>
  </sheetViews>
  <sheetFormatPr baseColWidth="10" defaultColWidth="9" defaultRowHeight="14.25"/>
  <cols>
    <col min="1" max="1" width="9.875" bestFit="1" customWidth="1"/>
    <col min="2" max="2" width="17" customWidth="1"/>
    <col min="3" max="3" width="19.75" customWidth="1"/>
    <col min="4" max="4" width="27.25" customWidth="1"/>
    <col min="5" max="5" width="21.375" customWidth="1"/>
    <col min="6" max="6" width="14.625" customWidth="1"/>
    <col min="7" max="7" width="18.875" customWidth="1"/>
    <col min="8" max="8" width="17.625" bestFit="1" customWidth="1"/>
  </cols>
  <sheetData>
    <row r="1" spans="1:8">
      <c r="A1" t="s">
        <v>15</v>
      </c>
      <c r="B1" t="s">
        <v>18</v>
      </c>
      <c r="C1" t="s">
        <v>19</v>
      </c>
      <c r="D1" t="s">
        <v>20</v>
      </c>
      <c r="E1" t="s">
        <v>21</v>
      </c>
      <c r="F1" t="s">
        <v>22</v>
      </c>
      <c r="G1" t="s">
        <v>23</v>
      </c>
      <c r="H1" t="s">
        <v>24</v>
      </c>
    </row>
    <row r="2" spans="1:8">
      <c r="A2" s="2">
        <v>46108</v>
      </c>
      <c r="B2" s="1">
        <v>51894238.144249998</v>
      </c>
      <c r="C2" s="1">
        <v>1352008822.1469994</v>
      </c>
      <c r="D2" s="1">
        <v>114591064.00208002</v>
      </c>
      <c r="E2" s="1">
        <v>1518494124.2933292</v>
      </c>
      <c r="F2" s="1">
        <v>1312229.331</v>
      </c>
      <c r="G2" s="1">
        <v>1519806353.6243293</v>
      </c>
      <c r="H2" s="15">
        <v>0</v>
      </c>
    </row>
    <row r="3" spans="1:8">
      <c r="A3" s="2">
        <v>46115</v>
      </c>
      <c r="B3" s="1">
        <v>53037714.146710016</v>
      </c>
      <c r="C3" s="1">
        <v>1339307607.9621801</v>
      </c>
      <c r="D3" s="1">
        <v>104752190.86271001</v>
      </c>
      <c r="E3" s="1">
        <v>1497097512.9716001</v>
      </c>
      <c r="F3" s="1">
        <v>1329047.3089199997</v>
      </c>
      <c r="G3" s="1">
        <v>1498426560.28052</v>
      </c>
      <c r="H3" s="15">
        <f>+((G3-G2)/G2)*100</f>
        <v>-1.4067445693212368</v>
      </c>
    </row>
    <row r="4" spans="1:8">
      <c r="A4" s="2">
        <v>46122</v>
      </c>
      <c r="B4" s="1">
        <v>51300407.269250013</v>
      </c>
      <c r="C4" s="1">
        <v>1366557520.0739398</v>
      </c>
      <c r="D4" s="1">
        <v>93957855.953770012</v>
      </c>
      <c r="E4" s="1">
        <v>1511815783.2969596</v>
      </c>
      <c r="F4" s="1">
        <v>1230831.7066299999</v>
      </c>
      <c r="G4" s="1">
        <v>1513046615.0035896</v>
      </c>
      <c r="H4" s="15">
        <f>+((G4-G3)/G3)*100</f>
        <v>0.9756937784346702</v>
      </c>
    </row>
    <row r="5" spans="1:8">
      <c r="A5" s="2">
        <v>46129</v>
      </c>
      <c r="B5" s="1">
        <v>52072039.455540009</v>
      </c>
      <c r="C5" s="1">
        <v>1390532008.0185997</v>
      </c>
      <c r="D5" s="1">
        <v>121700977.86743999</v>
      </c>
      <c r="E5" s="1">
        <v>1564305025.3415797</v>
      </c>
      <c r="F5" s="1">
        <v>1318474.4970099996</v>
      </c>
      <c r="G5" s="1">
        <v>1565623499.8385897</v>
      </c>
      <c r="H5" s="15">
        <f>+((G5-G4)/G4)*100</f>
        <v>3.4749018512476764</v>
      </c>
    </row>
    <row r="6" spans="1:8">
      <c r="A6" s="2">
        <v>46136</v>
      </c>
      <c r="B6" s="1">
        <v>55330466.694130011</v>
      </c>
      <c r="C6" s="1">
        <v>1431208791.1130197</v>
      </c>
      <c r="D6" s="1">
        <v>124915732.49143001</v>
      </c>
      <c r="E6" s="1">
        <v>1611454990.2985797</v>
      </c>
      <c r="F6" s="1">
        <v>1367165.0341699999</v>
      </c>
      <c r="G6" s="1">
        <v>1612822155.3327496</v>
      </c>
      <c r="H6" s="15">
        <f>+((G6-G5)/G5)*100</f>
        <v>3.0146874710954426</v>
      </c>
    </row>
    <row r="7" spans="1:8">
      <c r="A7" s="26">
        <v>46143</v>
      </c>
      <c r="B7" s="18">
        <v>56289349.634710021</v>
      </c>
      <c r="C7" s="18">
        <v>1572208957.4513197</v>
      </c>
      <c r="D7" s="18">
        <v>131632832.49728999</v>
      </c>
      <c r="E7" s="18">
        <v>1760131139.5833197</v>
      </c>
      <c r="F7" s="18">
        <v>1480052.1803799996</v>
      </c>
      <c r="G7" s="18">
        <v>1761611191.7636998</v>
      </c>
      <c r="H7" s="28">
        <v>9.2253839605925378</v>
      </c>
    </row>
    <row r="8" spans="1:8">
      <c r="A8" s="26">
        <v>46150</v>
      </c>
      <c r="B8" s="18">
        <v>56976115.061530016</v>
      </c>
      <c r="C8" s="18">
        <v>1583444536.3055906</v>
      </c>
      <c r="D8" s="18">
        <v>120943453.33754002</v>
      </c>
      <c r="E8" s="18">
        <v>1761364104.7046607</v>
      </c>
      <c r="F8" s="18">
        <v>1443633.0552200002</v>
      </c>
      <c r="G8" s="18">
        <v>1762807737.7598805</v>
      </c>
      <c r="H8" s="28">
        <v>6.7923387508850297E-2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2"/>
  <sheetViews>
    <sheetView workbookViewId="0">
      <selection activeCell="F22" sqref="F22"/>
    </sheetView>
  </sheetViews>
  <sheetFormatPr baseColWidth="10" defaultColWidth="9" defaultRowHeight="14.25"/>
  <cols>
    <col min="1" max="1" width="13.125" customWidth="1"/>
    <col min="2" max="2" width="7.375" customWidth="1"/>
    <col min="3" max="3" width="13.25" bestFit="1" customWidth="1"/>
    <col min="4" max="4" width="16" bestFit="1" customWidth="1"/>
    <col min="5" max="5" width="21.875" style="14" customWidth="1"/>
    <col min="9" max="9" width="11.625" customWidth="1"/>
  </cols>
  <sheetData>
    <row r="1" spans="1:7">
      <c r="A1" t="s">
        <v>25</v>
      </c>
      <c r="B1" t="s">
        <v>26</v>
      </c>
      <c r="C1" t="s">
        <v>27</v>
      </c>
      <c r="D1" t="s">
        <v>28</v>
      </c>
      <c r="E1" s="14" t="s">
        <v>17</v>
      </c>
      <c r="F1" t="s">
        <v>29</v>
      </c>
    </row>
    <row r="2" spans="1:7">
      <c r="A2" s="2">
        <v>46108</v>
      </c>
      <c r="B2">
        <v>13100</v>
      </c>
      <c r="C2">
        <v>3</v>
      </c>
      <c r="D2">
        <v>13103</v>
      </c>
      <c r="E2" s="32" t="e">
        <f t="shared" ref="E2:E17" si="0">+((D2-D1)/D1)</f>
        <v>#VALUE!</v>
      </c>
      <c r="F2" s="33">
        <v>-0.03</v>
      </c>
    </row>
    <row r="3" spans="1:7">
      <c r="A3" s="2">
        <v>46113</v>
      </c>
      <c r="B3">
        <v>13738</v>
      </c>
      <c r="C3">
        <v>3</v>
      </c>
      <c r="D3">
        <v>13741</v>
      </c>
      <c r="E3" s="32">
        <f t="shared" si="0"/>
        <v>4.8691139433717466E-2</v>
      </c>
      <c r="F3" s="33">
        <v>4.8691139433717466E-2</v>
      </c>
    </row>
    <row r="4" spans="1:7">
      <c r="A4" s="2">
        <v>46122</v>
      </c>
      <c r="B4">
        <v>13586</v>
      </c>
      <c r="C4">
        <v>3</v>
      </c>
      <c r="D4">
        <v>13589</v>
      </c>
      <c r="E4" s="32">
        <f t="shared" si="0"/>
        <v>-1.1061785896222982E-2</v>
      </c>
      <c r="F4" s="33">
        <v>-1.1061785896222982E-2</v>
      </c>
    </row>
    <row r="5" spans="1:7">
      <c r="A5" s="2">
        <v>46129</v>
      </c>
      <c r="B5">
        <v>13671</v>
      </c>
      <c r="C5">
        <v>3</v>
      </c>
      <c r="D5">
        <v>13674</v>
      </c>
      <c r="E5" s="32">
        <f t="shared" si="0"/>
        <v>6.2550592390904405E-3</v>
      </c>
      <c r="F5" s="33">
        <v>6.2550592390904405E-3</v>
      </c>
    </row>
    <row r="6" spans="1:7">
      <c r="A6" s="2">
        <v>46136</v>
      </c>
      <c r="B6">
        <v>13481</v>
      </c>
      <c r="C6">
        <v>3</v>
      </c>
      <c r="D6">
        <v>13484</v>
      </c>
      <c r="E6" s="32">
        <f t="shared" si="0"/>
        <v>-1.3894983179757204E-2</v>
      </c>
      <c r="F6" s="33">
        <v>-1.3894983179757204E-2</v>
      </c>
    </row>
    <row r="7" spans="1:7">
      <c r="A7" s="2">
        <v>46139</v>
      </c>
      <c r="B7">
        <v>13457</v>
      </c>
      <c r="C7">
        <v>3</v>
      </c>
      <c r="D7">
        <v>13460</v>
      </c>
      <c r="E7" s="32">
        <f t="shared" si="0"/>
        <v>-1.7798872738059924E-3</v>
      </c>
      <c r="F7" s="33">
        <v>-1.7798872738059924E-3</v>
      </c>
    </row>
    <row r="8" spans="1:7">
      <c r="A8" s="2">
        <v>46140</v>
      </c>
      <c r="B8">
        <v>13250</v>
      </c>
      <c r="C8">
        <v>3</v>
      </c>
      <c r="D8">
        <v>13253</v>
      </c>
      <c r="E8" s="32">
        <f t="shared" si="0"/>
        <v>-1.5378900445765229E-2</v>
      </c>
      <c r="F8" s="33">
        <v>-1.5378900445765229E-2</v>
      </c>
    </row>
    <row r="9" spans="1:7">
      <c r="A9" s="2">
        <v>46141</v>
      </c>
      <c r="B9">
        <v>13184</v>
      </c>
      <c r="C9">
        <v>3</v>
      </c>
      <c r="D9">
        <v>13187</v>
      </c>
      <c r="E9" s="32">
        <f t="shared" si="0"/>
        <v>-4.9800045272768434E-3</v>
      </c>
      <c r="F9" s="33">
        <v>-4.9800045272768434E-3</v>
      </c>
    </row>
    <row r="10" spans="1:7">
      <c r="A10" s="2">
        <v>46142</v>
      </c>
      <c r="B10">
        <v>13277</v>
      </c>
      <c r="C10">
        <v>3</v>
      </c>
      <c r="D10">
        <v>13280</v>
      </c>
      <c r="E10" s="32">
        <f t="shared" si="0"/>
        <v>7.0524000909987106E-3</v>
      </c>
      <c r="F10" s="33">
        <v>7.0524000909987106E-3</v>
      </c>
      <c r="G10" s="7"/>
    </row>
    <row r="11" spans="1:7">
      <c r="A11" s="2">
        <v>46146</v>
      </c>
      <c r="B11">
        <v>14058</v>
      </c>
      <c r="C11">
        <v>3</v>
      </c>
      <c r="D11">
        <v>14061</v>
      </c>
      <c r="E11" s="32">
        <f t="shared" si="0"/>
        <v>5.8810240963855419E-2</v>
      </c>
      <c r="F11" s="33">
        <v>5.8810240963855419E-2</v>
      </c>
    </row>
    <row r="12" spans="1:7">
      <c r="A12" s="2">
        <v>46147</v>
      </c>
      <c r="B12" s="12">
        <v>13869</v>
      </c>
      <c r="C12">
        <v>3</v>
      </c>
      <c r="D12" s="12">
        <v>13872</v>
      </c>
      <c r="E12" s="32">
        <f t="shared" si="0"/>
        <v>-1.3441433752933647E-2</v>
      </c>
      <c r="F12" s="33">
        <v>-1.3441433752933647E-2</v>
      </c>
    </row>
    <row r="13" spans="1:7">
      <c r="A13" s="26">
        <v>46148</v>
      </c>
      <c r="B13" s="27">
        <v>13411</v>
      </c>
      <c r="C13" s="25">
        <v>3</v>
      </c>
      <c r="D13" s="27">
        <v>13414</v>
      </c>
      <c r="E13" s="32">
        <f t="shared" si="0"/>
        <v>-3.3016147635524795E-2</v>
      </c>
      <c r="F13" s="33">
        <v>-3.3016147635524795E-2</v>
      </c>
    </row>
    <row r="14" spans="1:7">
      <c r="A14" s="26">
        <v>46149</v>
      </c>
      <c r="B14" s="27">
        <v>13460</v>
      </c>
      <c r="C14" s="25">
        <v>3</v>
      </c>
      <c r="D14" s="27">
        <v>13463</v>
      </c>
      <c r="E14" s="32">
        <f t="shared" si="0"/>
        <v>3.6528999552706129E-3</v>
      </c>
      <c r="F14" s="33">
        <v>3.6528999552706129E-3</v>
      </c>
    </row>
    <row r="15" spans="1:7">
      <c r="A15" s="26">
        <v>46150</v>
      </c>
      <c r="B15" s="27">
        <v>13398</v>
      </c>
      <c r="C15" s="25">
        <v>3</v>
      </c>
      <c r="D15" s="27">
        <v>13401</v>
      </c>
      <c r="E15" s="32">
        <f t="shared" si="0"/>
        <v>-4.6052142910198322E-3</v>
      </c>
      <c r="F15" s="33">
        <v>-4.6052142910198322E-3</v>
      </c>
    </row>
    <row r="16" spans="1:7">
      <c r="A16" s="26">
        <v>46153</v>
      </c>
      <c r="B16" s="27">
        <v>13309</v>
      </c>
      <c r="C16">
        <v>3</v>
      </c>
      <c r="D16" s="27">
        <v>13312</v>
      </c>
      <c r="E16" s="32">
        <f t="shared" si="0"/>
        <v>-6.6412954257144986E-3</v>
      </c>
      <c r="F16" s="33">
        <v>-6.6412954257144986E-3</v>
      </c>
    </row>
    <row r="17" spans="1:6">
      <c r="A17" s="26">
        <v>46154</v>
      </c>
      <c r="B17" s="27">
        <v>13300</v>
      </c>
      <c r="C17" s="25">
        <v>3</v>
      </c>
      <c r="D17" s="27">
        <v>13303</v>
      </c>
      <c r="E17" s="32">
        <f t="shared" si="0"/>
        <v>-6.7608173076923075E-4</v>
      </c>
      <c r="F17" s="33">
        <v>-6.7608173076923075E-4</v>
      </c>
    </row>
    <row r="18" spans="1:6">
      <c r="A18" s="26">
        <v>46155</v>
      </c>
      <c r="B18" s="27">
        <v>13277</v>
      </c>
      <c r="C18" s="25">
        <v>3</v>
      </c>
      <c r="D18" s="27">
        <v>13280</v>
      </c>
      <c r="E18" s="32">
        <f>+((D18-D17)/D17)</f>
        <v>-1.7289333233105315E-3</v>
      </c>
      <c r="F18" s="33">
        <v>-1.7289333233105315E-3</v>
      </c>
    </row>
    <row r="19" spans="1:6">
      <c r="A19" s="26">
        <v>46156</v>
      </c>
      <c r="B19" s="27">
        <v>13282</v>
      </c>
      <c r="C19" s="25">
        <v>3</v>
      </c>
      <c r="D19" s="27">
        <f t="shared" ref="D19" si="1">SUM(B19+C19)</f>
        <v>13285</v>
      </c>
      <c r="E19" s="32">
        <f>+((D19-D18)/D18)</f>
        <v>3.7650602409638556E-4</v>
      </c>
      <c r="F19" s="33">
        <v>3.7650602409638556E-4</v>
      </c>
    </row>
    <row r="20" spans="1:6">
      <c r="A20" s="26">
        <v>46157</v>
      </c>
      <c r="B20" s="27">
        <v>13015</v>
      </c>
      <c r="C20" s="25">
        <v>3</v>
      </c>
      <c r="D20" s="27">
        <v>13018</v>
      </c>
      <c r="E20" s="32">
        <f>+((D20-D19)/D19)</f>
        <v>-2.0097854723372225E-2</v>
      </c>
      <c r="F20" s="33">
        <v>3.7650602409638556E-4</v>
      </c>
    </row>
    <row r="21" spans="1:6">
      <c r="A21" s="26">
        <v>46161</v>
      </c>
      <c r="B21" s="27">
        <v>12992</v>
      </c>
      <c r="C21" s="25">
        <v>3</v>
      </c>
      <c r="D21" s="27">
        <v>12995</v>
      </c>
      <c r="E21" s="32">
        <f>+((D21-D20)/D20)</f>
        <v>-1.7667844522968198E-3</v>
      </c>
      <c r="F21" s="33">
        <v>-6.7608173076923075E-4</v>
      </c>
    </row>
    <row r="22" spans="1:6">
      <c r="A22" s="26">
        <v>46162</v>
      </c>
      <c r="B22" s="27">
        <v>12888</v>
      </c>
      <c r="C22" s="25">
        <v>3</v>
      </c>
      <c r="D22" s="27">
        <v>12891</v>
      </c>
      <c r="E22" s="32">
        <f>+((D22-D21)/D21)</f>
        <v>-8.0030781069642173E-3</v>
      </c>
      <c r="F22" s="33">
        <v>-1.1061785896222982E-2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Tasa Overnight Diaria</vt:lpstr>
      <vt:lpstr>Reservas Bancarias Excedentari</vt:lpstr>
      <vt:lpstr>Tasa Overnight Mensual</vt:lpstr>
      <vt:lpstr>Base Monetaria</vt:lpstr>
      <vt:lpstr>Liquidez Monetaria</vt:lpstr>
      <vt:lpstr>Resev. Internacionales $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15875</dc:creator>
  <cp:lastModifiedBy>Juan Contreras</cp:lastModifiedBy>
  <dcterms:created xsi:type="dcterms:W3CDTF">2026-04-29T23:27:57Z</dcterms:created>
  <dcterms:modified xsi:type="dcterms:W3CDTF">2026-05-22T12:48:54Z</dcterms:modified>
</cp:coreProperties>
</file>